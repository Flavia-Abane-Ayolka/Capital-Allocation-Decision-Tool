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WNER SETTINGS" sheetId="1" state="visible" r:id="rId3"/>
    <sheet name="START HERE" sheetId="2" state="visible" r:id="rId4"/>
    <sheet name="ADAPT TO YOUR BUSINESS" sheetId="3" state="visible" r:id="rId5"/>
    <sheet name="EXAMPLES 3 BUSINESS TYPES" sheetId="4" state="visible" r:id="rId6"/>
    <sheet name="CASH BENEFIT HELPER" sheetId="5" state="visible" r:id="rId7"/>
    <sheet name="MONEY CALCULATOR" sheetId="6" state="visible" r:id="rId8"/>
    <sheet name="OWNER SCORECARD" sheetId="7" state="visible" r:id="rId9"/>
    <sheet name="RESULTS" sheetId="8" state="visible" r:id="rId10"/>
    <sheet name="POST-INVESTMENT CHECK-IN" sheetId="9" state="visible" r:id="rId11"/>
    <sheet name="PILOT FEEDBACK" sheetId="10" state="visible" r:id="rId12"/>
    <sheet name="WORKED EXAMPLE" sheetId="11" state="visible" r:id="rId13"/>
    <sheet name="SIMPLE SME EXAMPLE" sheetId="12" state="visible" r:id="rId1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<sst xmlns="http://schemas.openxmlformats.org/spreadsheetml/2006/main" count="401" uniqueCount="341">
  <si>
    <t xml:space="preserve">Small Business Capital Decision Settings</t>
  </si>
  <si>
    <t xml:space="preserve">Setting</t>
  </si>
  <si>
    <t xml:space="preserve">Your Input</t>
  </si>
  <si>
    <t xml:space="preserve">What is the discount rate?</t>
  </si>
  <si>
    <t xml:space="preserve">Discount rate used for NPV</t>
  </si>
  <si>
    <t xml:space="preserve">NPV converts future cash benefits into today's dollars. The discount rate is the return you require to justify tying up your money. The 10% starting value is only a placeholder for the pilot. If you have a business loan or a return target you normally use, replace 10% with a rate that better reflects your situation.</t>
  </si>
  <si>
    <t xml:space="preserve">Financial score weight</t>
  </si>
  <si>
    <t xml:space="preserve">Execution score weight</t>
  </si>
  <si>
    <t xml:space="preserve">Readiness score weight</t>
  </si>
  <si>
    <t xml:space="preserve">Operational need score weight</t>
  </si>
  <si>
    <t xml:space="preserve">Strategic fit score weight</t>
  </si>
  <si>
    <t xml:space="preserve">Weight Check</t>
  </si>
  <si>
    <t xml:space="preserve">Capital Decision Toolkit for Small Business Owners</t>
  </si>
  <si>
    <t xml:space="preserve">You do NOT need a finance background to use this workbook. Enter the information you already know about a project — what it costs, what extra cash or savings it may create, whether you are ready to do it, and what could go wrong. The workbook does the NPV and scoring calculations for you.</t>
  </si>
  <si>
    <t xml:space="preserve">Use the toolkit in this order</t>
  </si>
  <si>
    <t xml:space="preserve">Step</t>
  </si>
  <si>
    <t xml:space="preserve">What you do</t>
  </si>
  <si>
    <t xml:space="preserve">Sheet</t>
  </si>
  <si>
    <t xml:space="preserve">If you need help estimating annual cash benefit, use the simple cash helper.</t>
  </si>
  <si>
    <t xml:space="preserve">CASH BENEFIT HELPER</t>
  </si>
  <si>
    <t xml:space="preserve">Enter project cost and expected cash benefit for up to five years. NPV and payback calculate automatically.</t>
  </si>
  <si>
    <t xml:space="preserve">MONEY CALCULATOR</t>
  </si>
  <si>
    <t xml:space="preserve">Answer six readiness questions and score each project using simple 1–5 questions.</t>
  </si>
  <si>
    <t xml:space="preserve">OWNER SCORECARD</t>
  </si>
  <si>
    <t xml:space="preserve">Compare the projects in one place and record what you decided.</t>
  </si>
  <si>
    <t xml:space="preserve">RESULTS</t>
  </si>
  <si>
    <t xml:space="preserve">After you invest, compare what actually happened with what you expected.</t>
  </si>
  <si>
    <t xml:space="preserve">POST-INVESTMENT CHECK-IN</t>
  </si>
  <si>
    <t xml:space="preserve">After testing the toolkit, tell us what was useful, confusing, or worth keeping.</t>
  </si>
  <si>
    <t xml:space="preserve">PILOT FEEDBACK</t>
  </si>
  <si>
    <t xml:space="preserve">Three simple finance ideas used in this workbook</t>
  </si>
  <si>
    <t xml:space="preserve">Term</t>
  </si>
  <si>
    <t xml:space="preserve">Plain-English meaning</t>
  </si>
  <si>
    <t xml:space="preserve">Example: You are considering a $12,000 piece of equipment. You expect it to create $5,000 of extra net cash each year for five years. You enter the $12,000 cost and the five yearly cash benefits. The workbook discounts those future benefits and automatically tells you the NPV. You do not need to know the NPV formula to use the tool.</t>
  </si>
  <si>
    <t xml:space="preserve">Net cash benefit</t>
  </si>
  <si>
    <t xml:space="preserve">Extra cash the project puts in your pocket after the extra cash costs it creates. It can also include cash savings.</t>
  </si>
  <si>
    <t xml:space="preserve">NPV</t>
  </si>
  <si>
    <t xml:space="preserve">What the future cash benefits are worth today after allowing for time and the return you require. Positive NPV is generally better than negative NPV.</t>
  </si>
  <si>
    <t xml:space="preserve">Simple payback</t>
  </si>
  <si>
    <t xml:space="preserve">Roughly how many years of average cash benefit it takes to recover the money you put in upfront.</t>
  </si>
  <si>
    <t xml:space="preserve">Important</t>
  </si>
  <si>
    <t xml:space="preserve">This workbook helps organize a decision; it does not make the decision for you and is not tax, accounting, legal, or investment advice. Use your own judgment and validate important assumptions before committing money.</t>
  </si>
  <si>
    <t xml:space="preserve">NEW: Want to see a fully completed example first? Open the SIMPLE SME EXAMPLE sheet.</t>
  </si>
  <si>
    <t xml:space="preserve">New: not sure how this fits your business? Open 'ADAPT TO YOUR BUSINESS'. Want to see it applied? Open 'EXAMPLES 3 BUSINESS TYPES'.</t>
  </si>
  <si>
    <t xml:space="preserve">Version: Toolkit v3.1 — External Pilot Version (frozen for distribution).</t>
  </si>
  <si>
    <t xml:space="preserve">This toolkit works for ANY small business</t>
  </si>
  <si>
    <t xml:space="preserve">The steps are the same whatever you do. Only the examples change. Use the prompts below to map the toolkit to your own business — then enter your own numbers in the MONEY CALCULATOR and OWNER SCORECARD.</t>
  </si>
  <si>
    <t xml:space="preserve">Toolkit idea</t>
  </si>
  <si>
    <t xml:space="preserve">How to think about it for your business</t>
  </si>
  <si>
    <t xml:space="preserve">A 'project'</t>
  </si>
  <si>
    <t xml:space="preserve">Any use of cash you're weighing: equipment, a hire, a renovation, software, a new location, more inventory, a marketing push, a vehicle.</t>
  </si>
  <si>
    <t xml:space="preserve">'Cash benefit'</t>
  </si>
  <si>
    <t xml:space="preserve">Extra money the project puts in your pocket: more sales, higher prices, OR money saved (less waste, lower rent, fewer repairs, less outsourcing).</t>
  </si>
  <si>
    <t xml:space="preserve">'Upfront cost'</t>
  </si>
  <si>
    <t xml:space="preserve">Everything you pay to get started: purchase price, setup, install, deposits, initial stock, training.</t>
  </si>
  <si>
    <t xml:space="preserve">'Readiness'</t>
  </si>
  <si>
    <t xml:space="preserve">Do you understand the cost, the payoff, how you'll pay for it, the steps, and who's responsible? If not, pause until you do.</t>
  </si>
  <si>
    <t xml:space="preserve">'Strategic fit'</t>
  </si>
  <si>
    <t xml:space="preserve">Does this move the business in the direction you actually want to grow?</t>
  </si>
  <si>
    <t xml:space="preserve">Examples of a 'project' by business type</t>
  </si>
  <si>
    <t xml:space="preserve">Product / retail / maker</t>
  </si>
  <si>
    <t xml:space="preserve">New equipment, more inventory, a second location, packaging line, point-of-sale system.</t>
  </si>
  <si>
    <t xml:space="preserve">Food / cafe / hospitality</t>
  </si>
  <si>
    <t xml:space="preserve">Roaster or oven, kitchen build-out, delivery capability, extra seating, online ordering.</t>
  </si>
  <si>
    <t xml:space="preserve">Service / professional firm</t>
  </si>
  <si>
    <t xml:space="preserve">A new hire, software/tooling, office space, certification, a marketing or lead-gen push.</t>
  </si>
  <si>
    <t xml:space="preserve">Trades / field business</t>
  </si>
  <si>
    <t xml:space="preserve">A vehicle, tools/equipment, a crew member, scheduling software, a storage yard.</t>
  </si>
  <si>
    <t xml:space="preserve">Tip</t>
  </si>
  <si>
    <t xml:space="preserve">Three worked examples — different business types</t>
  </si>
  <si>
    <t xml:space="preserve">All numbers are fictional and illustrative only, and use the toolkit's 5-year, 10% model so they reconcile. They show how the SAME toolkit applies across different businesses. Open MONEY CALCULATOR to run your own.</t>
  </si>
  <si>
    <t xml:space="preserve">Example 1 — Product / maker business (home-goods maker)</t>
  </si>
  <si>
    <t xml:space="preserve">Project</t>
  </si>
  <si>
    <t xml:space="preserve">Upfront $</t>
  </si>
  <si>
    <t xml:space="preserve">Y1</t>
  </si>
  <si>
    <t xml:space="preserve">Y2</t>
  </si>
  <si>
    <t xml:space="preserve">Y3</t>
  </si>
  <si>
    <t xml:space="preserve">Y4</t>
  </si>
  <si>
    <t xml:space="preserve">Y5</t>
  </si>
  <si>
    <t xml:space="preserve">NPV @10%</t>
  </si>
  <si>
    <t xml:space="preserve">Payback (yrs)</t>
  </si>
  <si>
    <t xml:space="preserve">Plain-English read</t>
  </si>
  <si>
    <t xml:space="preserve">Buy production equipment</t>
  </si>
  <si>
    <t xml:space="preserve">Strong payoff; fund if readiness is high</t>
  </si>
  <si>
    <t xml:space="preserve">Upgrade e-commerce</t>
  </si>
  <si>
    <t xml:space="preserve">Best return + fast payback; strong fit</t>
  </si>
  <si>
    <t xml:space="preserve">Replace aging equipment</t>
  </si>
  <si>
    <t xml:space="preserve">Lower return but may be a reliability 'must-do'</t>
  </si>
  <si>
    <t xml:space="preserve">Example 2 — Food / cafe business (small coffee roaster)</t>
  </si>
  <si>
    <t xml:space="preserve">Small roasting setup</t>
  </si>
  <si>
    <t xml:space="preserve">Strong NPV; cuts outsourcing, adds capacity</t>
  </si>
  <si>
    <t xml:space="preserve">Extra seating / fit-out</t>
  </si>
  <si>
    <t xml:space="preserve">Modest return; weigh against roaster first</t>
  </si>
  <si>
    <t xml:space="preserve">Online ordering + delivery</t>
  </si>
  <si>
    <t xml:space="preserve">Low cost, quick payback; easy early win</t>
  </si>
  <si>
    <t xml:space="preserve">Example 3 — Service / professional firm (small studio)</t>
  </si>
  <si>
    <t xml:space="preserve">Hire one specialist</t>
  </si>
  <si>
    <t xml:space="preserve">Capacity + revenue; check you can keep them busy</t>
  </si>
  <si>
    <t xml:space="preserve">Project / accounting software</t>
  </si>
  <si>
    <t xml:space="preserve">Cheap, fast payback, improves margins</t>
  </si>
  <si>
    <t xml:space="preserve">Larger office lease</t>
  </si>
  <si>
    <t xml:space="preserve">Check NPV before committing; stage if thin</t>
  </si>
  <si>
    <t xml:space="preserve">In every case the highest NPV is not automatically funded first: a reliability 'must-do' or a cheap quick win can rank ahead. That judgment is the point of the OWNER SCORECARD and RESULTS sheets.</t>
  </si>
  <si>
    <t xml:space="preserve">Simple Annual Cash Benefit Helper</t>
  </si>
  <si>
    <t xml:space="preserve">Use this only if you need help estimating the yearly cash benefit. Enter cash you expect to come IN because of the project, cash that will go OUT because of the project, and any yearly savings. The result is a simple annual net cash benefit estimate.</t>
  </si>
  <si>
    <t xml:space="preserve">Extra cash in per month ($)</t>
  </si>
  <si>
    <t xml:space="preserve">Extra cash expenses per month ($)</t>
  </si>
  <si>
    <t xml:space="preserve">Annual cash savings ($)</t>
  </si>
  <si>
    <t xml:space="preserve">Other annual costs ($)</t>
  </si>
  <si>
    <t xml:space="preserve">Estimated annual net cash benefit ($)</t>
  </si>
  <si>
    <t xml:space="preserve">Suggested Year 1 cash benefit ($)</t>
  </si>
  <si>
    <t xml:space="preserve">Notes</t>
  </si>
  <si>
    <t xml:space="preserve">Example of what to include</t>
  </si>
  <si>
    <t xml:space="preserve">Sales, service fees, subscriptions, wholesale orders, etc.</t>
  </si>
  <si>
    <t xml:space="preserve">Materials, extra labor, delivery, platform fees, utilities, etc.</t>
  </si>
  <si>
    <t xml:space="preserve">Rent savings, lower waste, fewer repairs, lower contractor cost, etc.</t>
  </si>
  <si>
    <t xml:space="preserve">Maintenance, software, insurance, licensing, recurring fees, etc.</t>
  </si>
  <si>
    <t xml:space="preserve">Use your best estimate; you can update it later.</t>
  </si>
  <si>
    <t xml:space="preserve">Project Money Calculator — NPV &amp; Payback</t>
  </si>
  <si>
    <t xml:space="preserve">For each project, enter the upfront cost and the NET CASH BENEFIT you expect in each year. Net cash benefit means extra cash/savings AFTER the extra cash costs caused by the project. If you expect the same amount each year, repeat the same number across Years 1–5.</t>
  </si>
  <si>
    <t xml:space="preserve">What are you considering?</t>
  </si>
  <si>
    <t xml:space="preserve">Purchase / setup cost now ($)</t>
  </si>
  <si>
    <t xml:space="preserve">Other upfront costs ($)</t>
  </si>
  <si>
    <t xml:space="preserve">Total cash needed today ($)</t>
  </si>
  <si>
    <t xml:space="preserve">Year 1 net cash benefit ($)</t>
  </si>
  <si>
    <t xml:space="preserve">Year 2 ($)</t>
  </si>
  <si>
    <t xml:space="preserve">Year 3 ($)</t>
  </si>
  <si>
    <t xml:space="preserve">Year 4 ($)</t>
  </si>
  <si>
    <t xml:space="preserve">Year 5 ($)</t>
  </si>
  <si>
    <t xml:space="preserve">Discount rate</t>
  </si>
  <si>
    <t xml:space="preserve">NPV ($)</t>
  </si>
  <si>
    <t xml:space="preserve">Average annual net cash benefit ($)</t>
  </si>
  <si>
    <t xml:space="preserve">Simple payback (yrs)</t>
  </si>
  <si>
    <t xml:space="preserve">Plain-English result</t>
  </si>
  <si>
    <t xml:space="preserve">NPV formula used by the workbook</t>
  </si>
  <si>
    <t xml:space="preserve">NPV = - cash paid today + Year 1 cash benefit ÷ (1 + discount rate)^1 + Year 2 cash benefit ÷ (1 + discount rate)^2 + ... through Year 5. The workbook performs this automatically. You only need to estimate the cash amounts.</t>
  </si>
  <si>
    <t xml:space="preserve">Small Business Decision Scorecard</t>
  </si>
  <si>
    <t xml:space="preserve">First answer the six readiness questions. A 'No' means the project should usually be paused until that information is clearer. If the project passes, score the five decision questions from 1 (weak) to 5 (strong).</t>
  </si>
  <si>
    <t xml:space="preserve">Do I understand the full cost?</t>
  </si>
  <si>
    <t xml:space="preserve">Do I have a realistic cash benefit estimate?</t>
  </si>
  <si>
    <t xml:space="preserve">Do I know how I will pay for it?</t>
  </si>
  <si>
    <t xml:space="preserve">Do I know the steps/timing to get started?</t>
  </si>
  <si>
    <t xml:space="preserve">Do I have the time/people/capacity to execute?</t>
  </si>
  <si>
    <t xml:space="preserve">Have I identified the main risks?</t>
  </si>
  <si>
    <t xml:space="preserve">Readiness Gate</t>
  </si>
  <si>
    <t xml:space="preserve">Money: Does it create enough value? (1-5)</t>
  </si>
  <si>
    <t xml:space="preserve">Delivery: Can we actually get it done? (1-5)</t>
  </si>
  <si>
    <t xml:space="preserve">Ready now: Are key pieces in place? (1-5)</t>
  </si>
  <si>
    <t xml:space="preserve">Need: What happens if we wait/do nothing? (1-5)</t>
  </si>
  <si>
    <t xml:space="preserve">Fit: Does this support where the business is going? (1-5)</t>
  </si>
  <si>
    <t xml:space="preserve">Overall Score</t>
  </si>
  <si>
    <t xml:space="preserve">Rank</t>
  </si>
  <si>
    <t xml:space="preserve">Decision</t>
  </si>
  <si>
    <t xml:space="preserve">Owner Notes</t>
  </si>
  <si>
    <t xml:space="preserve">Simple Payback (yrs)</t>
  </si>
  <si>
    <t xml:space="preserve">Upfront Cost ($)</t>
  </si>
  <si>
    <t xml:space="preserve">Discount Rate</t>
  </si>
  <si>
    <t xml:space="preserve">How to think about the 1–5 scores</t>
  </si>
  <si>
    <t xml:space="preserve">Score</t>
  </si>
  <si>
    <t xml:space="preserve">Money / value</t>
  </si>
  <si>
    <t xml:space="preserve">Can we deliver?</t>
  </si>
  <si>
    <t xml:space="preserve">Ready now?</t>
  </si>
  <si>
    <t xml:space="preserve">Need / cost of waiting</t>
  </si>
  <si>
    <t xml:space="preserve">Fit with business direction</t>
  </si>
  <si>
    <t xml:space="preserve">Very weak economics</t>
  </si>
  <si>
    <t xml:space="preserve">Major obstacles / very hard</t>
  </si>
  <si>
    <t xml:space="preserve">Not ready</t>
  </si>
  <si>
    <t xml:space="preserve">Little downside to waiting</t>
  </si>
  <si>
    <t xml:space="preserve">Does not fit</t>
  </si>
  <si>
    <t xml:space="preserve">Weak</t>
  </si>
  <si>
    <t xml:space="preserve">Several serious obstacles</t>
  </si>
  <si>
    <t xml:space="preserve">Many pieces missing</t>
  </si>
  <si>
    <t xml:space="preserve">Low downside</t>
  </si>
  <si>
    <t xml:space="preserve">Limited fit</t>
  </si>
  <si>
    <t xml:space="preserve">Acceptable</t>
  </si>
  <si>
    <t xml:space="preserve">Manageable with work</t>
  </si>
  <si>
    <t xml:space="preserve">Mostly ready</t>
  </si>
  <si>
    <t xml:space="preserve">Moderate downside</t>
  </si>
  <si>
    <t xml:space="preserve">Reasonable fit</t>
  </si>
  <si>
    <t xml:space="preserve">Strong</t>
  </si>
  <si>
    <t xml:space="preserve">Good delivery path</t>
  </si>
  <si>
    <t xml:space="preserve">Ready with minor gaps</t>
  </si>
  <si>
    <t xml:space="preserve">High downside to waiting</t>
  </si>
  <si>
    <t xml:space="preserve">Strong fit</t>
  </si>
  <si>
    <t xml:space="preserve">Very strong</t>
  </si>
  <si>
    <t xml:space="preserve">Very confident in delivery</t>
  </si>
  <si>
    <t xml:space="preserve">Ready to go</t>
  </si>
  <si>
    <t xml:space="preserve">Critical / costly to delay</t>
  </si>
  <si>
    <t xml:space="preserve">Directly supports priority</t>
  </si>
  <si>
    <t xml:space="preserve">Your Project Comparison</t>
  </si>
  <si>
    <t xml:space="preserve">Use this page for the discussion. The financial result is important, but the highest NPV does not automatically mean the project should be first. Look at the readiness gate, overall score, cost of waiting, and your practical ability to execute.</t>
  </si>
  <si>
    <t xml:space="preserve">Readiness</t>
  </si>
  <si>
    <t xml:space="preserve">Your Decision</t>
  </si>
  <si>
    <t xml:space="preserve">Why?</t>
  </si>
  <si>
    <t xml:space="preserve">Next Step</t>
  </si>
  <si>
    <t xml:space="preserve">After You Invest — Simple Check-In</t>
  </si>
  <si>
    <t xml:space="preserve">Come back after the project has been running long enough to learn something. The goal is not to prove the original decision was 'right' or 'wrong' — it is to compare expectations with reality and improve the next decision.</t>
  </si>
  <si>
    <t xml:space="preserve">Review date</t>
  </si>
  <si>
    <t xml:space="preserve">Expected upfront cost ($)</t>
  </si>
  <si>
    <t xml:space="preserve">Actual upfront cost ($)</t>
  </si>
  <si>
    <t xml:space="preserve">Cost difference ($)</t>
  </si>
  <si>
    <t xml:space="preserve">Expected Year 1 cash benefit ($)</t>
  </si>
  <si>
    <t xml:space="preserve">Actual / updated Year 1 cash benefit ($)</t>
  </si>
  <si>
    <t xml:space="preserve">Benefit difference ($)</t>
  </si>
  <si>
    <t xml:space="preserve">Planned start / launch</t>
  </si>
  <si>
    <t xml:space="preserve">Actual start / launch</t>
  </si>
  <si>
    <t xml:space="preserve">Delay (days)</t>
  </si>
  <si>
    <t xml:space="preserve">Overall outcome (1-5)</t>
  </si>
  <si>
    <t xml:space="preserve">What worked?</t>
  </si>
  <si>
    <t xml:space="preserve">What did not go as expected?</t>
  </si>
  <si>
    <t xml:space="preserve">Would you make the same investment again?</t>
  </si>
  <si>
    <t xml:space="preserve">What will you do differently next time?</t>
  </si>
  <si>
    <t xml:space="preserve">Tell Us How the Toolkit Worked for You</t>
  </si>
  <si>
    <t xml:space="preserve">Please answer based on your actual experience using the toolkit. There are no 'right' answers. The purpose is to learn what helps a small business owner make a better capital decision.</t>
  </si>
  <si>
    <t xml:space="preserve">Business / organization</t>
  </si>
  <si>
    <t xml:space="preserve">Your name (optional)</t>
  </si>
  <si>
    <t xml:space="preserve">Your role</t>
  </si>
  <si>
    <t xml:space="preserve">Date</t>
  </si>
  <si>
    <t xml:space="preserve">Project / decision tested</t>
  </si>
  <si>
    <t xml:space="preserve">Industry</t>
  </si>
  <si>
    <t xml:space="preserve">Statement</t>
  </si>
  <si>
    <t xml:space="preserve">Score (1-5)</t>
  </si>
  <si>
    <t xml:space="preserve">Comments</t>
  </si>
  <si>
    <t xml:space="preserve">I could use the toolkit without needing a finance background.</t>
  </si>
  <si>
    <t xml:space="preserve">The NPV / money section was understandable.</t>
  </si>
  <si>
    <t xml:space="preserve">The toolkit helped me compare options more clearly.</t>
  </si>
  <si>
    <t xml:space="preserve">It made me think about risks or missing information I had not written down before.</t>
  </si>
  <si>
    <t xml:space="preserve">It changed or clarified the order in which I would pursue projects.</t>
  </si>
  <si>
    <t xml:space="preserve">It influenced whether I would approve, stage, pause, or reject a project.</t>
  </si>
  <si>
    <t xml:space="preserve">I would use at least part of this toolkit again.</t>
  </si>
  <si>
    <t xml:space="preserve">I would recommend it to another small business owner.</t>
  </si>
  <si>
    <t xml:space="preserve">Question</t>
  </si>
  <si>
    <t xml:space="preserve">Your response</t>
  </si>
  <si>
    <t xml:space="preserve">What was the most useful part?</t>
  </si>
  <si>
    <t xml:space="preserve">What was confusing or harder than it needed to be?</t>
  </si>
  <si>
    <t xml:space="preserve">Did the toolkit change a decision or the timing of a decision? How?</t>
  </si>
  <si>
    <t xml:space="preserve">Which part would you use again?</t>
  </si>
  <si>
    <t xml:space="preserve">What should be added or removed for small business owners?</t>
  </si>
  <si>
    <t xml:space="preserve">Worked Example — Small Business Owner</t>
  </si>
  <si>
    <t xml:space="preserve">Illustrative numbers only. Imagine a small owner-operated consumer business comparing three uses of limited cash. The example shows how the workbook thinks about money AND practical execution.</t>
  </si>
  <si>
    <t xml:space="preserve">Cost now ($)</t>
  </si>
  <si>
    <t xml:space="preserve">Y1 cash benefit</t>
  </si>
  <si>
    <t xml:space="preserve">NPV at 10%</t>
  </si>
  <si>
    <t xml:space="preserve">Payback</t>
  </si>
  <si>
    <t xml:space="preserve">Money</t>
  </si>
  <si>
    <t xml:space="preserve">Delivery</t>
  </si>
  <si>
    <t xml:space="preserve">Ready</t>
  </si>
  <si>
    <t xml:space="preserve">Need</t>
  </si>
  <si>
    <t xml:space="preserve">Fit</t>
  </si>
  <si>
    <t xml:space="preserve">Add production equipment</t>
  </si>
  <si>
    <t xml:space="preserve">Upgrade e-commerce &amp; fulfillment</t>
  </si>
  <si>
    <t xml:space="preserve">Replace critical aging equipment</t>
  </si>
  <si>
    <t xml:space="preserve">Notice that the project with the strongest financial return does not automatically have to be the first project funded. A small business may reasonably prioritize an investment that is easier to deliver, urgently needed to keep the business operating, or better aligned with the owner's near-term strategy. The scorecard makes those trade-offs visible instead of leaving them in the owner's head.</t>
  </si>
  <si>
    <t xml:space="preserve">Simple Completed Example — A Small Coffee Business</t>
  </si>
  <si>
    <t xml:space="preserve">Fictional example only. Imagine an owner-operated coffee business considering whether to buy a small roasting and packaging setup. The owner does not calculate NPV by hand. They enter simple estimates they already understand, and the workbook converts those estimates into financial and decision information.</t>
  </si>
  <si>
    <t xml:space="preserve">STEP 1 — Describe the decision</t>
  </si>
  <si>
    <t xml:space="preserve">Owner's answer</t>
  </si>
  <si>
    <t xml:space="preserve">What am I considering?</t>
  </si>
  <si>
    <t xml:space="preserve">Buy a small roasting and packaging setup</t>
  </si>
  <si>
    <t xml:space="preserve">Why am I considering it?</t>
  </si>
  <si>
    <t xml:space="preserve">Reduce outsourced roasting, increase capacity, and support more direct sales</t>
  </si>
  <si>
    <t xml:space="preserve">How much cash do I need upfront?</t>
  </si>
  <si>
    <t xml:space="preserve">$15,000 total</t>
  </si>
  <si>
    <t xml:space="preserve">STEP 2 — Estimate the yearly cash benefit in plain English</t>
  </si>
  <si>
    <t xml:space="preserve">Owner estimate</t>
  </si>
  <si>
    <t xml:space="preserve">Amount</t>
  </si>
  <si>
    <t xml:space="preserve">What it means</t>
  </si>
  <si>
    <t xml:space="preserve">Extra sales expected each month</t>
  </si>
  <si>
    <t xml:space="preserve">Additional customer / wholesale sales</t>
  </si>
  <si>
    <t xml:space="preserve">Extra cash expenses each month</t>
  </si>
  <si>
    <t xml:space="preserve">Beans, packaging, transaction fees, extra labor, etc.</t>
  </si>
  <si>
    <t xml:space="preserve">Yearly cash savings</t>
  </si>
  <si>
    <t xml:space="preserve">Less outsourced roasting / other avoided cash costs</t>
  </si>
  <si>
    <t xml:space="preserve">Other yearly costs</t>
  </si>
  <si>
    <t xml:space="preserve">Maintenance, supplies, recurring fees</t>
  </si>
  <si>
    <t xml:space="preserve">Estimated annual net cash benefit</t>
  </si>
  <si>
    <t xml:space="preserve">This is what goes into the 5-year NPV calculation</t>
  </si>
  <si>
    <t xml:space="preserve">STEP 3 — Let the workbook calculate NPV and payback</t>
  </si>
  <si>
    <t xml:space="preserve">Input / result</t>
  </si>
  <si>
    <t xml:space="preserve">Year 0</t>
  </si>
  <si>
    <t xml:space="preserve">Year 1</t>
  </si>
  <si>
    <t xml:space="preserve">Year 2</t>
  </si>
  <si>
    <t xml:space="preserve">Year 3</t>
  </si>
  <si>
    <t xml:space="preserve">Year 4</t>
  </si>
  <si>
    <t xml:space="preserve">Year 5</t>
  </si>
  <si>
    <t xml:space="preserve">Meaning</t>
  </si>
  <si>
    <t xml:space="preserve">Cash flow</t>
  </si>
  <si>
    <t xml:space="preserve">Year 0 is the cash paid now; Years 1–5 are expected net cash benefits.</t>
  </si>
  <si>
    <t xml:space="preserve">The toolkit currently uses the discount rate in OWNER SETTINGS.</t>
  </si>
  <si>
    <t xml:space="preserve">Positive NPV means the expected cash benefits exceed the selected required return.</t>
  </si>
  <si>
    <t xml:space="preserve">Approximate years of average cash benefit needed to recover the upfront cash.</t>
  </si>
  <si>
    <t xml:space="preserve">STEP 4 — Ask the practical small-business questions</t>
  </si>
  <si>
    <t xml:space="preserve">Readiness question</t>
  </si>
  <si>
    <t xml:space="preserve">Answer</t>
  </si>
  <si>
    <t xml:space="preserve">Why</t>
  </si>
  <si>
    <t xml:space="preserve">Result</t>
  </si>
  <si>
    <t xml:space="preserve">Decision dimension</t>
  </si>
  <si>
    <t xml:space="preserve">Owner's reasoning</t>
  </si>
  <si>
    <t xml:space="preserve">Yes</t>
  </si>
  <si>
    <t xml:space="preserve">Purchase price and setup costs have been estimated.</t>
  </si>
  <si>
    <t xml:space="preserve">Positive NPV and fairly quick payback.</t>
  </si>
  <si>
    <t xml:space="preserve">The owner used expected extra sales, costs, and savings.</t>
  </si>
  <si>
    <t xml:space="preserve">Implementation is manageable but still requires setup and learning.</t>
  </si>
  <si>
    <t xml:space="preserve">The owner has identified the funding source.</t>
  </si>
  <si>
    <t xml:space="preserve">Most pieces are in place.</t>
  </si>
  <si>
    <t xml:space="preserve">Do I know the main implementation steps?</t>
  </si>
  <si>
    <t xml:space="preserve">Equipment, setup, training, and launch steps are known.</t>
  </si>
  <si>
    <t xml:space="preserve">Helpful, but the business can continue without it for a while.</t>
  </si>
  <si>
    <t xml:space="preserve">Do I have time / people / capacity?</t>
  </si>
  <si>
    <t xml:space="preserve">The owner believes current staffing can absorb the change.</t>
  </si>
  <si>
    <t xml:space="preserve">Supports more in-house production and direct growth.</t>
  </si>
  <si>
    <t xml:space="preserve">Demand, equipment downtime, and supplier risk are understood.</t>
  </si>
  <si>
    <t xml:space="preserve">Overall score</t>
  </si>
  <si>
    <t xml:space="preserve">Weighted using the toolkit's standard weights.</t>
  </si>
  <si>
    <t xml:space="preserve">Readiness gate</t>
  </si>
  <si>
    <t xml:space="preserve">STEP 5 — Make and document the decision</t>
  </si>
  <si>
    <t xml:space="preserve">Item</t>
  </si>
  <si>
    <t xml:space="preserve">Example conclusion</t>
  </si>
  <si>
    <t xml:space="preserve">Why this matters: the spreadsheet did not ask the owner to know finance formulas. The owner supplied understandable business estimates. The toolkit calculated the finance result, then forced a separate conversation about execution, readiness, urgency, and strategic fit. The owner still makes the final decision.</t>
  </si>
  <si>
    <t xml:space="preserve">Financial result</t>
  </si>
  <si>
    <t xml:space="preserve">Readiness result</t>
  </si>
  <si>
    <t xml:space="preserve">Owner decision</t>
  </si>
  <si>
    <t xml:space="preserve">APPROVE — move forward, but monitor whether the extra sales actually materialize.</t>
  </si>
  <si>
    <t xml:space="preserve">STEP 6 — Check what happened later</t>
  </si>
  <si>
    <t xml:space="preserve">After 6–12 months</t>
  </si>
  <si>
    <t xml:space="preserve">Original expectation</t>
  </si>
  <si>
    <t xml:space="preserve">Illustrative actual</t>
  </si>
  <si>
    <t xml:space="preserve">What the owner learns</t>
  </si>
  <si>
    <t xml:space="preserve">Upfront cost</t>
  </si>
  <si>
    <t xml:space="preserve">Setup cost was slightly higher than expected.</t>
  </si>
  <si>
    <t xml:space="preserve">Year 1 net cash benefit</t>
  </si>
  <si>
    <t xml:space="preserve">Actual benefit was below the original estimate.</t>
  </si>
  <si>
    <t xml:space="preserve">Launch timing</t>
  </si>
  <si>
    <t xml:space="preserve">On schedule</t>
  </si>
  <si>
    <t xml:space="preserve">3 weeks late</t>
  </si>
  <si>
    <t xml:space="preserve">Future projects should allow more setup time.</t>
  </si>
  <si>
    <t xml:space="preserve">Would I make the investment again?</t>
  </si>
  <si>
    <t xml:space="preserve">The investment still appears useful, but assumptions should be more conservative next time.</t>
  </si>
  <si>
    <t xml:space="preserve">What changes in the next decision?</t>
  </si>
  <si>
    <t xml:space="preserve">Use slightly lower demand assumptions and a larger setup-cost contingency.</t>
  </si>
  <si>
    <t xml:space="preserve">The numbers above are deliberately simple and fictional. A real business should use its own estimates. This example is meant to show the process from an owner's point of view: estimate simple cash impacts → let the workbook calculate NPV/payback → consider practical readiness and risk → make a decision → compare the result with reality later.</t>
  </si>
</sst>
</file>

<file path=xl/styles.xml><?xml version="1.0" encoding="utf-8"?>
<styleSheet xmlns="http://schemas.openxmlformats.org/spreadsheetml/2006/main">
  <numFmts count="8">
    <numFmt numFmtId="164" formatCode="General"/>
    <numFmt numFmtId="165" formatCode="0%"/>
    <numFmt numFmtId="166" formatCode="\$#,##0"/>
    <numFmt numFmtId="167" formatCode="\$#,##0;[RED]&quot;($&quot;#,##0\);\-"/>
    <numFmt numFmtId="168" formatCode="0.0%"/>
    <numFmt numFmtId="169" formatCode="0.0"/>
    <numFmt numFmtId="170" formatCode="0.00"/>
    <numFmt numFmtId="171" formatCode="mm/dd/yyyy"/>
  </numFmts>
  <fonts count="21">
    <font>
      <sz val="10"/>
      <name val="Arial"/>
      <family val="2"/>
      <charset val="1"/>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sz val="11"/>
      <color rgb="FF0000FF"/>
      <name val="Calibri"/>
      <family val="0"/>
      <charset val="1"/>
    </font>
    <font>
      <b val="true"/>
      <sz val="11"/>
      <name val="Calibri"/>
      <family val="0"/>
      <charset val="1"/>
    </font>
    <font>
      <b val="true"/>
      <sz val="10"/>
      <color rgb="FF1F3864"/>
      <name val="Arial"/>
      <family val="0"/>
      <charset val="1"/>
    </font>
    <font>
      <i val="true"/>
      <sz val="9"/>
      <color rgb="FF595959"/>
      <name val="Arial"/>
      <family val="0"/>
      <charset val="1"/>
    </font>
    <font>
      <b val="true"/>
      <sz val="14"/>
      <color rgb="FF1F3864"/>
      <name val="Arial"/>
      <family val="0"/>
      <charset val="1"/>
    </font>
    <font>
      <sz val="10"/>
      <name val="Arial"/>
      <family val="0"/>
      <charset val="1"/>
    </font>
    <font>
      <b val="true"/>
      <sz val="11"/>
      <color rgb="FFFFFFFF"/>
      <name val="Arial"/>
      <family val="0"/>
      <charset val="1"/>
    </font>
    <font>
      <b val="true"/>
      <sz val="10"/>
      <name val="Arial"/>
      <family val="0"/>
      <charset val="1"/>
    </font>
    <font>
      <sz val="11"/>
      <name val="You do not need a finance background. Enter what you already know, use your best estimate, and update it later. The toolkit organizes the decision — it does not make it for you, and it is not tax, accounting, legal, or investment advice."/>
      <family val="0"/>
      <charset val="1"/>
    </font>
    <font>
      <b val="true"/>
      <sz val="11"/>
      <color rgb="FF1F3864"/>
      <name val="Arial"/>
      <family val="0"/>
      <charset val="1"/>
    </font>
    <font>
      <sz val="11"/>
      <color rgb="FF000000"/>
      <name val="Calibri"/>
      <family val="0"/>
      <charset val="1"/>
    </font>
    <font>
      <sz val="11"/>
      <color rgb="FF008000"/>
      <name val="Calibri"/>
      <family val="0"/>
      <charset val="1"/>
    </font>
    <font>
      <sz val="10"/>
      <color rgb="FF000000"/>
      <name val="Calibri"/>
      <family val="2"/>
    </font>
    <font>
      <b val="true"/>
      <sz val="11"/>
      <color rgb="FF000000"/>
      <name val="Calibri"/>
      <family val="0"/>
      <charset val="1"/>
    </font>
  </fonts>
  <fills count="9">
    <fill>
      <patternFill patternType="none"/>
    </fill>
    <fill>
      <patternFill patternType="gray125"/>
    </fill>
    <fill>
      <patternFill patternType="solid">
        <fgColor rgb="FF17324D"/>
        <bgColor rgb="FF1F3864"/>
      </patternFill>
    </fill>
    <fill>
      <patternFill patternType="solid">
        <fgColor rgb="FF365E7D"/>
        <bgColor rgb="FF156082"/>
      </patternFill>
    </fill>
    <fill>
      <patternFill patternType="solid">
        <fgColor rgb="FFFFF2CC"/>
        <bgColor rgb="FFE2F0D9"/>
      </patternFill>
    </fill>
    <fill>
      <patternFill patternType="solid">
        <fgColor rgb="FFEAF1F6"/>
        <bgColor rgb="FFE2F0D9"/>
      </patternFill>
    </fill>
    <fill>
      <patternFill patternType="solid">
        <fgColor rgb="FFE2F0D9"/>
        <bgColor rgb="FFEAF1F6"/>
      </patternFill>
    </fill>
    <fill>
      <patternFill patternType="solid">
        <fgColor rgb="FF1F3864"/>
        <bgColor rgb="FF17324D"/>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5" fontId="7" fillId="4"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5" fontId="7" fillId="0" borderId="0" xfId="0" applyFont="true" applyBorder="false" applyAlignment="true" applyProtection="false">
      <alignment horizontal="general" vertical="bottom" textRotation="0" wrapText="true" indent="0" shrinkToFit="false"/>
      <protection locked="true" hidden="false"/>
    </xf>
    <xf numFmtId="164" fontId="8" fillId="5" borderId="0" xfId="0" applyFont="true" applyBorder="false" applyAlignment="true" applyProtection="false">
      <alignment horizontal="general" vertical="bottom" textRotation="0" wrapText="true" indent="0" shrinkToFit="false"/>
      <protection locked="true" hidden="false"/>
    </xf>
    <xf numFmtId="165" fontId="8" fillId="5" borderId="0" xfId="0" applyFont="true" applyBorder="false" applyAlignment="true" applyProtection="false">
      <alignment horizontal="general" vertical="bottom" textRotation="0" wrapText="true" indent="0" shrinkToFit="false"/>
      <protection locked="true" hidden="false"/>
    </xf>
    <xf numFmtId="164" fontId="4" fillId="5" borderId="0" xfId="0" applyFont="true" applyBorder="true" applyAlignment="true" applyProtection="false">
      <alignment horizontal="general" vertical="bottom" textRotation="0" wrapText="true" indent="0" shrinkToFit="false"/>
      <protection locked="true" hidden="false"/>
    </xf>
    <xf numFmtId="164" fontId="8" fillId="6"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6" fillId="8" borderId="0"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7" fontId="7" fillId="0" borderId="0" xfId="0" applyFont="true" applyBorder="false" applyAlignment="true" applyProtection="false">
      <alignment horizontal="general" vertical="bottom" textRotation="0" wrapText="true" indent="0" shrinkToFit="false"/>
      <protection locked="true" hidden="false"/>
    </xf>
    <xf numFmtId="167" fontId="17" fillId="0" borderId="0" xfId="0" applyFont="true" applyBorder="false" applyAlignment="true" applyProtection="false">
      <alignment horizontal="general" vertical="bottom" textRotation="0" wrapText="true" indent="0" shrinkToFit="false"/>
      <protection locked="true" hidden="false"/>
    </xf>
    <xf numFmtId="168" fontId="18" fillId="0" borderId="0" xfId="0" applyFont="true" applyBorder="false" applyAlignment="true" applyProtection="false">
      <alignment horizontal="general" vertical="bottom" textRotation="0" wrapText="true" indent="0" shrinkToFit="false"/>
      <protection locked="true" hidden="false"/>
    </xf>
    <xf numFmtId="169" fontId="17"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70" fontId="17" fillId="0" borderId="0" xfId="0" applyFont="true" applyBorder="false" applyAlignment="true" applyProtection="false">
      <alignment horizontal="general" vertical="bottom" textRotation="0" wrapText="true" indent="0" shrinkToFit="false"/>
      <protection locked="true" hidden="false"/>
    </xf>
    <xf numFmtId="167" fontId="18" fillId="0" borderId="0" xfId="0" applyFont="true" applyBorder="false" applyAlignment="true" applyProtection="false">
      <alignment horizontal="general" vertical="bottom" textRotation="0" wrapText="true" indent="0" shrinkToFit="false"/>
      <protection locked="true" hidden="false"/>
    </xf>
    <xf numFmtId="169" fontId="18" fillId="0" borderId="0" xfId="0" applyFont="true" applyBorder="false" applyAlignment="true" applyProtection="false">
      <alignment horizontal="general" vertical="bottom" textRotation="0" wrapText="true" indent="0" shrinkToFit="false"/>
      <protection locked="true" hidden="false"/>
    </xf>
    <xf numFmtId="170" fontId="18" fillId="0" borderId="0" xfId="0" applyFont="true" applyBorder="false" applyAlignment="true" applyProtection="false">
      <alignment horizontal="general" vertical="bottom" textRotation="0" wrapText="true" indent="0" shrinkToFit="false"/>
      <protection locked="true" hidden="false"/>
    </xf>
    <xf numFmtId="171" fontId="7"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true" indent="0" shrinkToFit="false"/>
      <protection locked="true" hidden="false"/>
    </xf>
    <xf numFmtId="169" fontId="4" fillId="0" borderId="0" xfId="0" applyFont="true" applyBorder="false" applyAlignment="true" applyProtection="false">
      <alignment horizontal="general" vertical="bottom" textRotation="0" wrapText="true" indent="0" shrinkToFit="false"/>
      <protection locked="true" hidden="false"/>
    </xf>
    <xf numFmtId="170" fontId="4" fillId="0" borderId="0" xfId="0" applyFont="true" applyBorder="false" applyAlignment="true" applyProtection="false">
      <alignment horizontal="general" vertical="bottom" textRotation="0" wrapText="true" indent="0" shrinkToFit="false"/>
      <protection locked="true" hidden="false"/>
    </xf>
    <xf numFmtId="167" fontId="20" fillId="6" borderId="0" xfId="0" applyFont="true" applyBorder="false" applyAlignment="true" applyProtection="false">
      <alignment horizontal="general" vertical="bottom" textRotation="0" wrapText="true" indent="0" shrinkToFit="false"/>
      <protection locked="true" hidden="false"/>
    </xf>
    <xf numFmtId="165" fontId="18" fillId="0" borderId="0" xfId="0" applyFont="true" applyBorder="false" applyAlignment="true" applyProtection="false">
      <alignment horizontal="general" vertical="bottom" textRotation="0" wrapText="true" indent="0" shrinkToFit="false"/>
      <protection locked="true" hidden="false"/>
    </xf>
    <xf numFmtId="169" fontId="20" fillId="0" borderId="0" xfId="0" applyFont="true" applyBorder="false" applyAlignment="true" applyProtection="false">
      <alignment horizontal="general" vertical="bottom" textRotation="0" wrapText="true" indent="0" shrinkToFit="false"/>
      <protection locked="true" hidden="false"/>
    </xf>
    <xf numFmtId="170" fontId="20" fillId="6" borderId="0" xfId="0" applyFont="true" applyBorder="false" applyAlignment="true" applyProtection="false">
      <alignment horizontal="general" vertical="bottom" textRotation="0" wrapText="true" indent="0" shrinkToFit="false"/>
      <protection locked="true" hidden="false"/>
    </xf>
    <xf numFmtId="164" fontId="8" fillId="6"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1"/>
      </font>
      <fill>
        <patternFill>
          <bgColor rgb="FFF4CCCC"/>
        </patternFill>
      </fill>
    </dxf>
    <dxf>
      <fill>
        <patternFill>
          <bgColor rgb="FFE2F0D9"/>
        </patternFill>
      </fill>
    </dxf>
    <dxf>
      <fill>
        <patternFill>
          <bgColor rgb="FFF4CCCC"/>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B8B8B"/>
      <rgbColor rgb="FF9999FF"/>
      <rgbColor rgb="FF993366"/>
      <rgbColor rgb="FFFFF2CC"/>
      <rgbColor rgb="FFEAF1F6"/>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9E1F2"/>
      <rgbColor rgb="FFE2F0D9"/>
      <rgbColor rgb="FFFFFF99"/>
      <rgbColor rgb="FFD9D9D9"/>
      <rgbColor rgb="FFFF99CC"/>
      <rgbColor rgb="FFCC99FF"/>
      <rgbColor rgb="FFF4CCCC"/>
      <rgbColor rgb="FF3366FF"/>
      <rgbColor rgb="FF33CCCC"/>
      <rgbColor rgb="FF99CC00"/>
      <rgbColor rgb="FFFFCC00"/>
      <rgbColor rgb="FFFF9900"/>
      <rgbColor rgb="FFFF6600"/>
      <rgbColor rgb="FF595959"/>
      <rgbColor rgb="FF969696"/>
      <rgbColor rgb="FF17324D"/>
      <rgbColor rgb="FF339966"/>
      <rgbColor rgb="FF003300"/>
      <rgbColor rgb="FF333300"/>
      <rgbColor rgb="FF993300"/>
      <rgbColor rgb="FF993366"/>
      <rgbColor rgb="FF365E7D"/>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"Overall Score"</c:f>
              <c:strCache>
                <c:ptCount val="1"/>
                <c:pt idx="0">
                  <c:v>Overall Score</c:v>
                </c:pt>
              </c:strCache>
            </c:strRef>
          </c:tx>
          <c:spPr>
            <a:solidFill>
              <a:srgbClr val="156082"/>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RESULTS!$A$6:$A$10</c:f>
              <c:strCache>
                <c:ptCount val="5"/>
                <c:pt idx="0">
                  <c:v/>
                </c:pt>
                <c:pt idx="1">
                  <c:v/>
                </c:pt>
                <c:pt idx="2">
                  <c:v/>
                </c:pt>
                <c:pt idx="3">
                  <c:v/>
                </c:pt>
                <c:pt idx="4">
                  <c:v/>
                </c:pt>
              </c:strCache>
            </c:strRef>
          </c:cat>
          <c:val>
            <c:numRef>
              <c:f>RESULTS!$F$6:$F$10</c:f>
              <c:numCache>
                <c:formatCode>General</c:formatCode>
                <c:ptCount val="5"/>
              </c:numCache>
            </c:numRef>
          </c:val>
        </c:ser>
        <c:gapWidth val="150"/>
        <c:overlap val="0"/>
        <c:axId val="7833294"/>
        <c:axId val="40761799"/>
      </c:barChart>
      <c:catAx>
        <c:axId val="783329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0761799"/>
        <c:crosses val="autoZero"/>
        <c:auto val="1"/>
        <c:lblAlgn val="ctr"/>
        <c:lblOffset val="100"/>
        <c:noMultiLvlLbl val="0"/>
      </c:catAx>
      <c:valAx>
        <c:axId val="4076179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83329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"Overall Score"</c:f>
              <c:strCache>
                <c:ptCount val="1"/>
                <c:pt idx="0">
                  <c:v>Overall Score</c:v>
                </c:pt>
              </c:strCache>
            </c:strRef>
          </c:tx>
          <c:spPr>
            <a:solidFill>
              <a:srgbClr val="156082"/>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'WORKED EXAMPLE'!$A$6:$A$8</c:f>
              <c:strCache>
                <c:ptCount val="3"/>
                <c:pt idx="0">
                  <c:v>Add production equipment</c:v>
                </c:pt>
                <c:pt idx="1">
                  <c:v>Upgrade e-commerce &amp; fulfillment</c:v>
                </c:pt>
                <c:pt idx="2">
                  <c:v>Replace critical aging equipment</c:v>
                </c:pt>
              </c:strCache>
            </c:strRef>
          </c:cat>
          <c:val>
            <c:numRef>
              <c:f>'WORKED EXAMPLE'!$O$6:$O$8</c:f>
              <c:numCache>
                <c:formatCode>0.00</c:formatCode>
                <c:ptCount val="3"/>
                <c:pt idx="0">
                  <c:v>3.65</c:v>
                </c:pt>
                <c:pt idx="1">
                  <c:v>3.95</c:v>
                </c:pt>
                <c:pt idx="2">
                  <c:v>4.1</c:v>
                </c:pt>
              </c:numCache>
            </c:numRef>
          </c:val>
        </c:ser>
        <c:gapWidth val="150"/>
        <c:overlap val="0"/>
        <c:axId val="63846112"/>
        <c:axId val="21979376"/>
      </c:barChart>
      <c:catAx>
        <c:axId val="6384611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1979376"/>
        <c:crosses val="autoZero"/>
        <c:auto val="1"/>
        <c:lblAlgn val="ctr"/>
        <c:lblOffset val="100"/>
        <c:noMultiLvlLbl val="0"/>
      </c:catAx>
      <c:valAx>
        <c:axId val="2197937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38461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116280</xdr:rowOff>
    </xdr:from>
    <xdr:to>
      <xdr:col>7</xdr:col>
      <xdr:colOff>1127160</xdr:colOff>
      <xdr:row>28</xdr:row>
      <xdr:rowOff>115560</xdr:rowOff>
    </xdr:to>
    <xdr:graphicFrame>
      <xdr:nvGraphicFramePr>
        <xdr:cNvPr id="0" name="Chart 1"/>
        <xdr:cNvGraphicFramePr/>
      </xdr:nvGraphicFramePr>
      <xdr:xfrm>
        <a:off x="0" y="2468880"/>
        <a:ext cx="9091800" cy="304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137160</xdr:rowOff>
    </xdr:from>
    <xdr:to>
      <xdr:col>7</xdr:col>
      <xdr:colOff>1126800</xdr:colOff>
      <xdr:row>28</xdr:row>
      <xdr:rowOff>136440</xdr:rowOff>
    </xdr:to>
    <xdr:graphicFrame>
      <xdr:nvGraphicFramePr>
        <xdr:cNvPr id="1" name="Chart 1"/>
        <xdr:cNvGraphicFramePr/>
      </xdr:nvGraphicFramePr>
      <xdr:xfrm>
        <a:off x="0" y="2842200"/>
        <a:ext cx="9021240" cy="285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4"/>
    <col collapsed="false" customWidth="true" hidden="false" outlineLevel="0" max="6" min="4" style="1" width="28"/>
  </cols>
  <sheetData>
    <row r="1" customFormat="false" ht="20.25" hidden="false" customHeight="true" outlineLevel="0" collapsed="false">
      <c r="A1" s="2" t="s">
        <v>0</v>
      </c>
      <c r="B1" s="2"/>
      <c r="C1" s="2"/>
      <c r="D1" s="2"/>
      <c r="E1" s="2"/>
      <c r="F1" s="2"/>
    </row>
    <row r="2" customFormat="false" ht="15" hidden="false" customHeight="true" outlineLevel="0" collapsed="false">
      <c r="A2" s="3"/>
      <c r="B2" s="3"/>
      <c r="C2" s="3"/>
      <c r="D2" s="3"/>
      <c r="E2" s="3"/>
      <c r="F2" s="3"/>
    </row>
    <row r="3" customFormat="false" ht="15" hidden="false" customHeight="true" outlineLevel="0" collapsed="false">
      <c r="A3" s="4" t="s">
        <v>1</v>
      </c>
      <c r="B3" s="4" t="s">
        <v>2</v>
      </c>
      <c r="C3" s="3"/>
      <c r="D3" s="5" t="s">
        <v>3</v>
      </c>
      <c r="E3" s="5"/>
      <c r="F3" s="5"/>
    </row>
    <row r="4" customFormat="false" ht="15" hidden="false" customHeight="true" outlineLevel="0" collapsed="false">
      <c r="A4" s="3" t="s">
        <v>4</v>
      </c>
      <c r="B4" s="6" t="n">
        <v>0.1</v>
      </c>
      <c r="C4" s="3"/>
      <c r="D4" s="7" t="s">
        <v>5</v>
      </c>
      <c r="E4" s="7"/>
      <c r="F4" s="7"/>
    </row>
    <row r="5" customFormat="false" ht="15" hidden="false" customHeight="true" outlineLevel="0" collapsed="false">
      <c r="A5" s="3" t="s">
        <v>6</v>
      </c>
      <c r="B5" s="8" t="n">
        <v>0.4</v>
      </c>
      <c r="C5" s="3"/>
      <c r="D5" s="7"/>
      <c r="E5" s="7"/>
      <c r="F5" s="7"/>
    </row>
    <row r="6" customFormat="false" ht="15" hidden="false" customHeight="true" outlineLevel="0" collapsed="false">
      <c r="A6" s="3" t="s">
        <v>7</v>
      </c>
      <c r="B6" s="8" t="n">
        <v>0.2</v>
      </c>
      <c r="C6" s="3"/>
      <c r="D6" s="7"/>
      <c r="E6" s="7"/>
      <c r="F6" s="7"/>
    </row>
    <row r="7" customFormat="false" ht="15" hidden="false" customHeight="true" outlineLevel="0" collapsed="false">
      <c r="A7" s="3" t="s">
        <v>8</v>
      </c>
      <c r="B7" s="8" t="n">
        <v>0.15</v>
      </c>
      <c r="C7" s="3"/>
      <c r="D7" s="7"/>
      <c r="E7" s="7"/>
      <c r="F7" s="7"/>
    </row>
    <row r="8" customFormat="false" ht="15" hidden="false" customHeight="true" outlineLevel="0" collapsed="false">
      <c r="A8" s="3" t="s">
        <v>9</v>
      </c>
      <c r="B8" s="8" t="n">
        <v>0.15</v>
      </c>
      <c r="C8" s="3"/>
      <c r="D8" s="7"/>
      <c r="E8" s="7"/>
      <c r="F8" s="7"/>
    </row>
    <row r="9" customFormat="false" ht="15" hidden="false" customHeight="true" outlineLevel="0" collapsed="false">
      <c r="A9" s="3" t="s">
        <v>10</v>
      </c>
      <c r="B9" s="8" t="n">
        <v>0.1</v>
      </c>
      <c r="C9" s="3"/>
      <c r="D9" s="7"/>
      <c r="E9" s="7"/>
      <c r="F9" s="7"/>
    </row>
    <row r="10" customFormat="false" ht="15" hidden="false" customHeight="true" outlineLevel="0" collapsed="false">
      <c r="A10" s="3"/>
      <c r="B10" s="3"/>
      <c r="C10" s="3"/>
      <c r="D10" s="3"/>
      <c r="E10" s="3"/>
      <c r="F10" s="3"/>
    </row>
    <row r="11" customFormat="false" ht="15" hidden="false" customHeight="true" outlineLevel="0" collapsed="false">
      <c r="A11" s="9" t="s">
        <v>11</v>
      </c>
      <c r="B11" s="10" t="n">
        <f aca="false">SUM(B5:B9)</f>
        <v>1</v>
      </c>
      <c r="C11" s="3"/>
      <c r="D11" s="3"/>
      <c r="E11" s="3"/>
      <c r="F11" s="3"/>
    </row>
    <row r="12" customFormat="false" ht="15" hidden="false" customHeight="true" outlineLevel="0" collapsed="false">
      <c r="A12" s="3"/>
      <c r="B12" s="3"/>
      <c r="C12" s="3"/>
      <c r="D12" s="3"/>
      <c r="E12" s="3"/>
      <c r="F12" s="3"/>
    </row>
  </sheetData>
  <mergeCells count="3">
    <mergeCell ref="A1:F1"/>
    <mergeCell ref="D3:F3"/>
    <mergeCell ref="D4:F9"/>
  </mergeCells>
  <conditionalFormatting sqref="B11">
    <cfRule type="expression" priority="2" aboveAverage="0" equalAverage="0" bottom="0" percent="0" rank="0" text="" dxfId="0">
      <formula>B11&lt;&gt;1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4"/>
    <col collapsed="false" customWidth="true" hidden="false" outlineLevel="0" max="3" min="3" style="1" width="26"/>
    <col collapsed="false" customWidth="true" hidden="false" outlineLevel="0" max="8" min="4" style="1" width="20"/>
  </cols>
  <sheetData>
    <row r="1" customFormat="false" ht="20.25" hidden="false" customHeight="true" outlineLevel="0" collapsed="false">
      <c r="A1" s="2" t="s">
        <v>12</v>
      </c>
      <c r="B1" s="2"/>
      <c r="C1" s="2"/>
      <c r="D1" s="2"/>
      <c r="E1" s="2"/>
      <c r="F1" s="2"/>
      <c r="G1" s="2"/>
      <c r="H1" s="2"/>
    </row>
    <row r="2" customFormat="false" ht="15" hidden="false" customHeight="true" outlineLevel="0" collapsed="false">
      <c r="A2" s="3"/>
      <c r="B2" s="3"/>
      <c r="C2" s="3"/>
      <c r="D2" s="3"/>
      <c r="E2" s="3"/>
      <c r="F2" s="3"/>
      <c r="G2" s="3"/>
      <c r="H2" s="3"/>
    </row>
    <row r="3" customFormat="false" ht="15" hidden="false" customHeight="true" outlineLevel="0" collapsed="false">
      <c r="A3" s="7" t="s">
        <v>13</v>
      </c>
      <c r="B3" s="7"/>
      <c r="C3" s="7"/>
      <c r="D3" s="7"/>
      <c r="E3" s="7"/>
      <c r="F3" s="7"/>
      <c r="G3" s="7"/>
      <c r="H3" s="7"/>
    </row>
    <row r="4" customFormat="false" ht="15" hidden="false" customHeight="true" outlineLevel="0" collapsed="false">
      <c r="A4" s="7"/>
      <c r="B4" s="7"/>
      <c r="C4" s="7"/>
      <c r="D4" s="7"/>
      <c r="E4" s="7"/>
      <c r="F4" s="7"/>
      <c r="G4" s="7"/>
      <c r="H4" s="7"/>
    </row>
    <row r="5" customFormat="false" ht="15" hidden="false" customHeight="true" outlineLevel="0" collapsed="false">
      <c r="A5" s="3"/>
      <c r="B5" s="3"/>
      <c r="C5" s="3"/>
      <c r="D5" s="3"/>
      <c r="E5" s="3"/>
      <c r="F5" s="3"/>
      <c r="G5" s="3"/>
      <c r="H5" s="3"/>
    </row>
    <row r="6" customFormat="false" ht="15" hidden="false" customHeight="true" outlineLevel="0" collapsed="false">
      <c r="A6" s="5" t="s">
        <v>14</v>
      </c>
      <c r="B6" s="5"/>
      <c r="C6" s="5"/>
      <c r="D6" s="5"/>
      <c r="E6" s="5"/>
      <c r="F6" s="5"/>
      <c r="G6" s="5"/>
      <c r="H6" s="5"/>
    </row>
    <row r="7" customFormat="false" ht="15" hidden="false" customHeight="true" outlineLevel="0" collapsed="false">
      <c r="A7" s="4" t="s">
        <v>15</v>
      </c>
      <c r="B7" s="4" t="s">
        <v>16</v>
      </c>
      <c r="C7" s="4" t="s">
        <v>17</v>
      </c>
      <c r="D7" s="3"/>
      <c r="E7" s="3"/>
      <c r="F7" s="3"/>
      <c r="G7" s="3"/>
      <c r="H7" s="3"/>
    </row>
    <row r="8" customFormat="false" ht="27.75" hidden="false" customHeight="true" outlineLevel="0" collapsed="false">
      <c r="A8" s="3" t="n">
        <v>1</v>
      </c>
      <c r="B8" s="3" t="s">
        <v>18</v>
      </c>
      <c r="C8" s="3" t="s">
        <v>19</v>
      </c>
      <c r="D8" s="3"/>
      <c r="E8" s="3"/>
      <c r="F8" s="3"/>
      <c r="G8" s="3"/>
      <c r="H8" s="3"/>
    </row>
    <row r="9" customFormat="false" ht="27.75" hidden="false" customHeight="true" outlineLevel="0" collapsed="false">
      <c r="A9" s="3" t="n">
        <v>2</v>
      </c>
      <c r="B9" s="3" t="s">
        <v>20</v>
      </c>
      <c r="C9" s="3" t="s">
        <v>21</v>
      </c>
      <c r="D9" s="3"/>
      <c r="E9" s="3"/>
      <c r="F9" s="3"/>
      <c r="G9" s="3"/>
      <c r="H9" s="3"/>
    </row>
    <row r="10" customFormat="false" ht="27.75" hidden="false" customHeight="true" outlineLevel="0" collapsed="false">
      <c r="A10" s="3" t="n">
        <v>3</v>
      </c>
      <c r="B10" s="3" t="s">
        <v>22</v>
      </c>
      <c r="C10" s="3" t="s">
        <v>23</v>
      </c>
      <c r="D10" s="3"/>
      <c r="E10" s="3"/>
      <c r="F10" s="3"/>
      <c r="G10" s="3"/>
      <c r="H10" s="3"/>
    </row>
    <row r="11" customFormat="false" ht="27.75" hidden="false" customHeight="true" outlineLevel="0" collapsed="false">
      <c r="A11" s="3" t="n">
        <v>4</v>
      </c>
      <c r="B11" s="3" t="s">
        <v>24</v>
      </c>
      <c r="C11" s="3" t="s">
        <v>25</v>
      </c>
      <c r="D11" s="3"/>
      <c r="E11" s="3"/>
      <c r="F11" s="3"/>
      <c r="G11" s="3"/>
      <c r="H11" s="3"/>
    </row>
    <row r="12" customFormat="false" ht="27.75" hidden="false" customHeight="true" outlineLevel="0" collapsed="false">
      <c r="A12" s="3" t="n">
        <v>5</v>
      </c>
      <c r="B12" s="3" t="s">
        <v>26</v>
      </c>
      <c r="C12" s="3" t="s">
        <v>27</v>
      </c>
      <c r="D12" s="3"/>
      <c r="E12" s="3"/>
      <c r="F12" s="3"/>
      <c r="G12" s="3"/>
      <c r="H12" s="3"/>
    </row>
    <row r="13" customFormat="false" ht="27.75" hidden="false" customHeight="true" outlineLevel="0" collapsed="false">
      <c r="A13" s="3" t="n">
        <v>6</v>
      </c>
      <c r="B13" s="3" t="s">
        <v>28</v>
      </c>
      <c r="C13" s="3" t="s">
        <v>29</v>
      </c>
      <c r="D13" s="3"/>
      <c r="E13" s="3"/>
      <c r="F13" s="3"/>
      <c r="G13" s="3"/>
      <c r="H13" s="3"/>
    </row>
    <row r="14" customFormat="false" ht="15" hidden="false" customHeight="true" outlineLevel="0" collapsed="false">
      <c r="A14" s="3"/>
      <c r="B14" s="3"/>
      <c r="C14" s="3"/>
      <c r="D14" s="3"/>
      <c r="E14" s="3"/>
      <c r="F14" s="3"/>
      <c r="G14" s="3"/>
      <c r="H14" s="3"/>
    </row>
    <row r="15" customFormat="false" ht="15" hidden="false" customHeight="true" outlineLevel="0" collapsed="false">
      <c r="A15" s="5" t="s">
        <v>30</v>
      </c>
      <c r="B15" s="5"/>
      <c r="C15" s="5"/>
      <c r="D15" s="5"/>
      <c r="E15" s="5"/>
      <c r="F15" s="5"/>
      <c r="G15" s="5"/>
      <c r="H15" s="5"/>
    </row>
    <row r="16" customFormat="false" ht="15" hidden="false" customHeight="true" outlineLevel="0" collapsed="false">
      <c r="A16" s="4" t="s">
        <v>31</v>
      </c>
      <c r="B16" s="4" t="s">
        <v>32</v>
      </c>
      <c r="C16" s="3"/>
      <c r="D16" s="11" t="s">
        <v>33</v>
      </c>
      <c r="E16" s="11"/>
      <c r="F16" s="11"/>
      <c r="G16" s="11"/>
      <c r="H16" s="11"/>
    </row>
    <row r="17" customFormat="false" ht="27.75" hidden="false" customHeight="true" outlineLevel="0" collapsed="false">
      <c r="A17" s="3" t="s">
        <v>34</v>
      </c>
      <c r="B17" s="3" t="s">
        <v>35</v>
      </c>
      <c r="C17" s="3"/>
      <c r="D17" s="11"/>
      <c r="E17" s="11"/>
      <c r="F17" s="11"/>
      <c r="G17" s="11"/>
      <c r="H17" s="11"/>
    </row>
    <row r="18" customFormat="false" ht="41.25" hidden="false" customHeight="true" outlineLevel="0" collapsed="false">
      <c r="A18" s="3" t="s">
        <v>36</v>
      </c>
      <c r="B18" s="3" t="s">
        <v>37</v>
      </c>
      <c r="C18" s="3"/>
      <c r="D18" s="11"/>
      <c r="E18" s="11"/>
      <c r="F18" s="11"/>
      <c r="G18" s="11"/>
      <c r="H18" s="11"/>
    </row>
    <row r="19" customFormat="false" ht="27.75" hidden="false" customHeight="true" outlineLevel="0" collapsed="false">
      <c r="A19" s="3" t="s">
        <v>38</v>
      </c>
      <c r="B19" s="3" t="s">
        <v>39</v>
      </c>
      <c r="C19" s="3"/>
      <c r="D19" s="11"/>
      <c r="E19" s="11"/>
      <c r="F19" s="11"/>
      <c r="G19" s="11"/>
      <c r="H19" s="11"/>
    </row>
    <row r="20" customFormat="false" ht="15" hidden="false" customHeight="true" outlineLevel="0" collapsed="false">
      <c r="A20" s="3"/>
      <c r="B20" s="3"/>
      <c r="C20" s="3"/>
      <c r="D20" s="3"/>
      <c r="E20" s="3"/>
      <c r="F20" s="3"/>
      <c r="G20" s="3"/>
      <c r="H20" s="3"/>
    </row>
    <row r="21" customFormat="false" ht="15" hidden="false" customHeight="true" outlineLevel="0" collapsed="false">
      <c r="A21" s="5" t="s">
        <v>40</v>
      </c>
      <c r="B21" s="5"/>
      <c r="C21" s="5"/>
      <c r="D21" s="5"/>
      <c r="E21" s="5"/>
      <c r="F21" s="5"/>
      <c r="G21" s="5"/>
      <c r="H21" s="5"/>
    </row>
    <row r="22" customFormat="false" ht="15" hidden="false" customHeight="true" outlineLevel="0" collapsed="false">
      <c r="A22" s="7" t="s">
        <v>41</v>
      </c>
      <c r="B22" s="7"/>
      <c r="C22" s="7"/>
      <c r="D22" s="7"/>
      <c r="E22" s="7"/>
      <c r="F22" s="7"/>
      <c r="G22" s="7"/>
      <c r="H22" s="7"/>
    </row>
    <row r="23" customFormat="false" ht="15" hidden="false" customHeight="true" outlineLevel="0" collapsed="false">
      <c r="A23" s="7"/>
      <c r="B23" s="7"/>
      <c r="C23" s="7"/>
      <c r="D23" s="7"/>
      <c r="E23" s="7"/>
      <c r="F23" s="7"/>
      <c r="G23" s="7"/>
      <c r="H23" s="7"/>
    </row>
    <row r="24" customFormat="false" ht="15" hidden="false" customHeight="true" outlineLevel="0" collapsed="false">
      <c r="A24" s="7"/>
      <c r="B24" s="7"/>
      <c r="C24" s="7"/>
      <c r="D24" s="7"/>
      <c r="E24" s="7"/>
      <c r="F24" s="7"/>
      <c r="G24" s="7"/>
      <c r="H24" s="7"/>
    </row>
    <row r="25" customFormat="false" ht="15" hidden="false" customHeight="true" outlineLevel="0" collapsed="false">
      <c r="A25" s="3"/>
      <c r="B25" s="3"/>
      <c r="C25" s="3"/>
      <c r="D25" s="3"/>
      <c r="E25" s="3"/>
      <c r="F25" s="3"/>
      <c r="G25" s="3"/>
      <c r="H25" s="3"/>
    </row>
    <row r="26" customFormat="false" ht="15" hidden="false" customHeight="true" outlineLevel="0" collapsed="false">
      <c r="A26" s="12" t="s">
        <v>42</v>
      </c>
      <c r="B26" s="12"/>
      <c r="C26" s="12"/>
      <c r="D26" s="12"/>
      <c r="E26" s="12"/>
      <c r="F26" s="12"/>
      <c r="G26" s="12"/>
      <c r="H26" s="12"/>
    </row>
    <row r="28" customFormat="false" ht="15" hidden="false" customHeight="true" outlineLevel="0" collapsed="false">
      <c r="A28" s="13" t="s">
        <v>43</v>
      </c>
    </row>
    <row r="30" customFormat="false" ht="15" hidden="false" customHeight="false" outlineLevel="0" collapsed="false">
      <c r="A30" s="14" t="s">
        <v>44</v>
      </c>
    </row>
  </sheetData>
  <mergeCells count="8">
    <mergeCell ref="A1:H1"/>
    <mergeCell ref="A3:H4"/>
    <mergeCell ref="A6:H6"/>
    <mergeCell ref="A15:H15"/>
    <mergeCell ref="D16:H19"/>
    <mergeCell ref="A21:H21"/>
    <mergeCell ref="A22:H24"/>
    <mergeCell ref="A26:H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78"/>
  </cols>
  <sheetData>
    <row r="1" customFormat="false" ht="48" hidden="false" customHeight="true" outlineLevel="0" collapsed="false">
      <c r="A1" s="15" t="s">
        <v>45</v>
      </c>
    </row>
    <row r="2" customFormat="false" ht="84.75" hidden="false" customHeight="true" outlineLevel="0" collapsed="false">
      <c r="A2" s="16" t="s">
        <v>46</v>
      </c>
    </row>
    <row r="3" customFormat="false" ht="15" hidden="false" customHeight="true" outlineLevel="0" collapsed="false">
      <c r="A3" s="17"/>
    </row>
    <row r="4" customFormat="false" ht="30" hidden="false" customHeight="true" outlineLevel="0" collapsed="false">
      <c r="A4" s="18" t="s">
        <v>47</v>
      </c>
      <c r="B4" s="18" t="s">
        <v>48</v>
      </c>
    </row>
    <row r="5" customFormat="false" ht="30" hidden="false" customHeight="true" outlineLevel="0" collapsed="false">
      <c r="A5" s="19" t="s">
        <v>49</v>
      </c>
      <c r="B5" s="20" t="s">
        <v>50</v>
      </c>
    </row>
    <row r="6" customFormat="false" ht="30" hidden="false" customHeight="true" outlineLevel="0" collapsed="false">
      <c r="A6" s="19" t="s">
        <v>51</v>
      </c>
      <c r="B6" s="20" t="s">
        <v>52</v>
      </c>
    </row>
    <row r="7" customFormat="false" ht="30" hidden="false" customHeight="true" outlineLevel="0" collapsed="false">
      <c r="A7" s="19" t="s">
        <v>53</v>
      </c>
      <c r="B7" s="20" t="s">
        <v>54</v>
      </c>
    </row>
    <row r="8" customFormat="false" ht="30" hidden="false" customHeight="true" outlineLevel="0" collapsed="false">
      <c r="A8" s="19" t="s">
        <v>55</v>
      </c>
      <c r="B8" s="20" t="s">
        <v>56</v>
      </c>
    </row>
    <row r="9" customFormat="false" ht="30" hidden="false" customHeight="true" outlineLevel="0" collapsed="false">
      <c r="A9" s="19" t="s">
        <v>57</v>
      </c>
      <c r="B9" s="20" t="s">
        <v>58</v>
      </c>
    </row>
    <row r="10" customFormat="false" ht="15" hidden="false" customHeight="true" outlineLevel="0" collapsed="false">
      <c r="A10" s="17"/>
    </row>
    <row r="11" customFormat="false" ht="23.25" hidden="false" customHeight="true" outlineLevel="0" collapsed="false">
      <c r="A11" s="21" t="s">
        <v>59</v>
      </c>
    </row>
    <row r="12" customFormat="false" ht="30" hidden="false" customHeight="true" outlineLevel="0" collapsed="false">
      <c r="A12" s="19" t="s">
        <v>60</v>
      </c>
      <c r="B12" s="20" t="s">
        <v>61</v>
      </c>
    </row>
    <row r="13" customFormat="false" ht="30" hidden="false" customHeight="true" outlineLevel="0" collapsed="false">
      <c r="A13" s="19" t="s">
        <v>62</v>
      </c>
      <c r="B13" s="20" t="s">
        <v>63</v>
      </c>
    </row>
    <row r="14" customFormat="false" ht="30" hidden="false" customHeight="true" outlineLevel="0" collapsed="false">
      <c r="A14" s="19" t="s">
        <v>64</v>
      </c>
      <c r="B14" s="20" t="s">
        <v>65</v>
      </c>
    </row>
    <row r="15" customFormat="false" ht="30" hidden="false" customHeight="true" outlineLevel="0" collapsed="false">
      <c r="A15" s="19" t="s">
        <v>66</v>
      </c>
      <c r="B15" s="20" t="s">
        <v>67</v>
      </c>
    </row>
    <row r="16" customFormat="false" ht="15" hidden="false" customHeight="true" outlineLevel="0" collapsed="false">
      <c r="A16" s="17"/>
    </row>
    <row r="17" customFormat="false" ht="15" hidden="false" customHeight="true" outlineLevel="0" collapsed="false">
      <c r="A17" s="22"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7" min="3" style="0" width="10"/>
    <col collapsed="false" customWidth="true" hidden="false" outlineLevel="0" max="8" min="8" style="0" width="12"/>
    <col collapsed="false" customWidth="true" hidden="false" outlineLevel="0" max="9" min="9" style="0" width="11"/>
    <col collapsed="false" customWidth="true" hidden="false" outlineLevel="0" max="10" min="10" style="0" width="30"/>
  </cols>
  <sheetData>
    <row r="1" customFormat="false" ht="17.35" hidden="false" customHeight="false" outlineLevel="0" collapsed="false">
      <c r="A1" s="23" t="s">
        <v>69</v>
      </c>
    </row>
    <row r="2" customFormat="false" ht="15" hidden="false" customHeight="false" outlineLevel="0" collapsed="false">
      <c r="A2" s="24" t="s">
        <v>70</v>
      </c>
      <c r="B2" s="24"/>
      <c r="C2" s="24"/>
      <c r="D2" s="24"/>
      <c r="E2" s="24"/>
      <c r="F2" s="24"/>
      <c r="G2" s="24"/>
      <c r="H2" s="24"/>
      <c r="I2" s="24"/>
      <c r="J2" s="24"/>
    </row>
    <row r="4" customFormat="false" ht="15" hidden="false" customHeight="false" outlineLevel="0" collapsed="false">
      <c r="A4" s="25" t="s">
        <v>71</v>
      </c>
      <c r="B4" s="25"/>
      <c r="C4" s="25"/>
      <c r="D4" s="25"/>
      <c r="E4" s="25"/>
      <c r="F4" s="25"/>
      <c r="G4" s="25"/>
      <c r="H4" s="25"/>
      <c r="I4" s="25"/>
      <c r="J4" s="25"/>
    </row>
    <row r="5" customFormat="false" ht="26.85" hidden="false" customHeight="false" outlineLevel="0" collapsed="false">
      <c r="A5" s="18" t="s">
        <v>72</v>
      </c>
      <c r="B5" s="18" t="s">
        <v>73</v>
      </c>
      <c r="C5" s="18" t="s">
        <v>74</v>
      </c>
      <c r="D5" s="18" t="s">
        <v>75</v>
      </c>
      <c r="E5" s="18" t="s">
        <v>76</v>
      </c>
      <c r="F5" s="18" t="s">
        <v>77</v>
      </c>
      <c r="G5" s="18" t="s">
        <v>78</v>
      </c>
      <c r="H5" s="18" t="s">
        <v>79</v>
      </c>
      <c r="I5" s="18" t="s">
        <v>80</v>
      </c>
      <c r="J5" s="18" t="s">
        <v>81</v>
      </c>
    </row>
    <row r="6" customFormat="false" ht="27.75" hidden="false" customHeight="true" outlineLevel="0" collapsed="false">
      <c r="A6" s="20" t="s">
        <v>82</v>
      </c>
      <c r="B6" s="26" t="n">
        <v>18000</v>
      </c>
      <c r="C6" s="26" t="n">
        <v>7000</v>
      </c>
      <c r="D6" s="26" t="n">
        <v>8000</v>
      </c>
      <c r="E6" s="26" t="n">
        <v>8500</v>
      </c>
      <c r="F6" s="26" t="n">
        <v>8500</v>
      </c>
      <c r="G6" s="26" t="n">
        <v>8500</v>
      </c>
      <c r="H6" s="26" t="n">
        <v>12445</v>
      </c>
      <c r="I6" s="20" t="n">
        <v>2.2</v>
      </c>
      <c r="J6" s="20" t="s">
        <v>83</v>
      </c>
    </row>
    <row r="7" customFormat="false" ht="27.75" hidden="false" customHeight="true" outlineLevel="0" collapsed="false">
      <c r="A7" s="20" t="s">
        <v>84</v>
      </c>
      <c r="B7" s="26" t="n">
        <v>10000</v>
      </c>
      <c r="C7" s="26" t="n">
        <v>4500</v>
      </c>
      <c r="D7" s="26" t="n">
        <v>5500</v>
      </c>
      <c r="E7" s="26" t="n">
        <v>6500</v>
      </c>
      <c r="F7" s="26" t="n">
        <v>7000</v>
      </c>
      <c r="G7" s="26" t="n">
        <v>7000</v>
      </c>
      <c r="H7" s="26" t="n">
        <v>12647</v>
      </c>
      <c r="I7" s="20" t="n">
        <v>1.6</v>
      </c>
      <c r="J7" s="20" t="s">
        <v>85</v>
      </c>
    </row>
    <row r="8" customFormat="false" ht="27.75" hidden="false" customHeight="true" outlineLevel="0" collapsed="false">
      <c r="A8" s="20" t="s">
        <v>86</v>
      </c>
      <c r="B8" s="26" t="n">
        <v>14000</v>
      </c>
      <c r="C8" s="26" t="n">
        <v>4000</v>
      </c>
      <c r="D8" s="26" t="n">
        <v>4500</v>
      </c>
      <c r="E8" s="26" t="n">
        <v>5000</v>
      </c>
      <c r="F8" s="26" t="n">
        <v>5000</v>
      </c>
      <c r="G8" s="26" t="n">
        <v>5000</v>
      </c>
      <c r="H8" s="26" t="n">
        <v>3632</v>
      </c>
      <c r="I8" s="20" t="n">
        <v>3</v>
      </c>
      <c r="J8" s="20" t="s">
        <v>87</v>
      </c>
    </row>
    <row r="10" customFormat="false" ht="15" hidden="false" customHeight="false" outlineLevel="0" collapsed="false">
      <c r="A10" s="25" t="s">
        <v>88</v>
      </c>
      <c r="B10" s="25"/>
      <c r="C10" s="25"/>
      <c r="D10" s="25"/>
      <c r="E10" s="25"/>
      <c r="F10" s="25"/>
      <c r="G10" s="25"/>
      <c r="H10" s="25"/>
      <c r="I10" s="25"/>
      <c r="J10" s="25"/>
    </row>
    <row r="11" customFormat="false" ht="26.85" hidden="false" customHeight="false" outlineLevel="0" collapsed="false">
      <c r="A11" s="18" t="s">
        <v>72</v>
      </c>
      <c r="B11" s="18" t="s">
        <v>73</v>
      </c>
      <c r="C11" s="18" t="s">
        <v>74</v>
      </c>
      <c r="D11" s="18" t="s">
        <v>75</v>
      </c>
      <c r="E11" s="18" t="s">
        <v>76</v>
      </c>
      <c r="F11" s="18" t="s">
        <v>77</v>
      </c>
      <c r="G11" s="18" t="s">
        <v>78</v>
      </c>
      <c r="H11" s="18" t="s">
        <v>79</v>
      </c>
      <c r="I11" s="18" t="s">
        <v>80</v>
      </c>
      <c r="J11" s="18" t="s">
        <v>81</v>
      </c>
    </row>
    <row r="12" customFormat="false" ht="27.75" hidden="false" customHeight="true" outlineLevel="0" collapsed="false">
      <c r="A12" s="20" t="s">
        <v>89</v>
      </c>
      <c r="B12" s="26" t="n">
        <v>15000</v>
      </c>
      <c r="C12" s="26" t="n">
        <v>8700</v>
      </c>
      <c r="D12" s="26" t="n">
        <v>8700</v>
      </c>
      <c r="E12" s="26" t="n">
        <v>8700</v>
      </c>
      <c r="F12" s="26" t="n">
        <v>8700</v>
      </c>
      <c r="G12" s="26" t="n">
        <v>8700</v>
      </c>
      <c r="H12" s="26" t="n">
        <v>17980</v>
      </c>
      <c r="I12" s="20" t="n">
        <v>1.7</v>
      </c>
      <c r="J12" s="20" t="s">
        <v>90</v>
      </c>
    </row>
    <row r="13" customFormat="false" ht="27.75" hidden="false" customHeight="true" outlineLevel="0" collapsed="false">
      <c r="A13" s="20" t="s">
        <v>91</v>
      </c>
      <c r="B13" s="26" t="n">
        <v>9000</v>
      </c>
      <c r="C13" s="26" t="n">
        <v>3000</v>
      </c>
      <c r="D13" s="26" t="n">
        <v>3200</v>
      </c>
      <c r="E13" s="26" t="n">
        <v>3400</v>
      </c>
      <c r="F13" s="26" t="n">
        <v>3400</v>
      </c>
      <c r="G13" s="26" t="n">
        <v>3400</v>
      </c>
      <c r="H13" s="26" t="n">
        <v>3360</v>
      </c>
      <c r="I13" s="20" t="n">
        <v>2.7</v>
      </c>
      <c r="J13" s="20" t="s">
        <v>92</v>
      </c>
    </row>
    <row r="14" customFormat="false" ht="27.75" hidden="false" customHeight="true" outlineLevel="0" collapsed="false">
      <c r="A14" s="20" t="s">
        <v>93</v>
      </c>
      <c r="B14" s="26" t="n">
        <v>4000</v>
      </c>
      <c r="C14" s="26" t="n">
        <v>2500</v>
      </c>
      <c r="D14" s="26" t="n">
        <v>3000</v>
      </c>
      <c r="E14" s="26" t="n">
        <v>3200</v>
      </c>
      <c r="F14" s="26" t="n">
        <v>3200</v>
      </c>
      <c r="G14" s="26" t="n">
        <v>3200</v>
      </c>
      <c r="H14" s="26" t="n">
        <v>7329</v>
      </c>
      <c r="I14" s="20" t="n">
        <v>1.3</v>
      </c>
      <c r="J14" s="20" t="s">
        <v>94</v>
      </c>
    </row>
    <row r="16" customFormat="false" ht="15" hidden="false" customHeight="false" outlineLevel="0" collapsed="false">
      <c r="A16" s="25" t="s">
        <v>95</v>
      </c>
      <c r="B16" s="25"/>
      <c r="C16" s="25"/>
      <c r="D16" s="25"/>
      <c r="E16" s="25"/>
      <c r="F16" s="25"/>
      <c r="G16" s="25"/>
      <c r="H16" s="25"/>
      <c r="I16" s="25"/>
      <c r="J16" s="25"/>
    </row>
    <row r="17" customFormat="false" ht="26.85" hidden="false" customHeight="false" outlineLevel="0" collapsed="false">
      <c r="A17" s="18" t="s">
        <v>72</v>
      </c>
      <c r="B17" s="18" t="s">
        <v>73</v>
      </c>
      <c r="C17" s="18" t="s">
        <v>74</v>
      </c>
      <c r="D17" s="18" t="s">
        <v>75</v>
      </c>
      <c r="E17" s="18" t="s">
        <v>76</v>
      </c>
      <c r="F17" s="18" t="s">
        <v>77</v>
      </c>
      <c r="G17" s="18" t="s">
        <v>78</v>
      </c>
      <c r="H17" s="18" t="s">
        <v>79</v>
      </c>
      <c r="I17" s="18" t="s">
        <v>80</v>
      </c>
      <c r="J17" s="18" t="s">
        <v>81</v>
      </c>
    </row>
    <row r="18" customFormat="false" ht="27.75" hidden="false" customHeight="true" outlineLevel="0" collapsed="false">
      <c r="A18" s="20" t="s">
        <v>96</v>
      </c>
      <c r="B18" s="26" t="n">
        <v>60000</v>
      </c>
      <c r="C18" s="26" t="n">
        <v>28000</v>
      </c>
      <c r="D18" s="26" t="n">
        <v>34000</v>
      </c>
      <c r="E18" s="26" t="n">
        <v>38000</v>
      </c>
      <c r="F18" s="26" t="n">
        <v>38000</v>
      </c>
      <c r="G18" s="26" t="n">
        <v>38000</v>
      </c>
      <c r="H18" s="26" t="n">
        <v>71653</v>
      </c>
      <c r="I18" s="20" t="n">
        <v>1.7</v>
      </c>
      <c r="J18" s="20" t="s">
        <v>97</v>
      </c>
    </row>
    <row r="19" customFormat="false" ht="27.75" hidden="false" customHeight="true" outlineLevel="0" collapsed="false">
      <c r="A19" s="20" t="s">
        <v>98</v>
      </c>
      <c r="B19" s="26" t="n">
        <v>6000</v>
      </c>
      <c r="C19" s="26" t="n">
        <v>3500</v>
      </c>
      <c r="D19" s="26" t="n">
        <v>3800</v>
      </c>
      <c r="E19" s="26" t="n">
        <v>4000</v>
      </c>
      <c r="F19" s="26" t="n">
        <v>4000</v>
      </c>
      <c r="G19" s="26" t="n">
        <v>4000</v>
      </c>
      <c r="H19" s="26" t="n">
        <v>8543</v>
      </c>
      <c r="I19" s="20" t="n">
        <v>1.6</v>
      </c>
      <c r="J19" s="20" t="s">
        <v>99</v>
      </c>
    </row>
    <row r="20" customFormat="false" ht="27.75" hidden="false" customHeight="true" outlineLevel="0" collapsed="false">
      <c r="A20" s="20" t="s">
        <v>100</v>
      </c>
      <c r="B20" s="26" t="n">
        <v>40000</v>
      </c>
      <c r="C20" s="26" t="n">
        <v>10000</v>
      </c>
      <c r="D20" s="26" t="n">
        <v>12000</v>
      </c>
      <c r="E20" s="26" t="n">
        <v>14000</v>
      </c>
      <c r="F20" s="26" t="n">
        <v>14000</v>
      </c>
      <c r="G20" s="26" t="n">
        <v>14000</v>
      </c>
      <c r="H20" s="26" t="n">
        <v>7782</v>
      </c>
      <c r="I20" s="20" t="n">
        <v>3.1</v>
      </c>
      <c r="J20" s="20" t="s">
        <v>101</v>
      </c>
    </row>
    <row r="22" customFormat="false" ht="15" hidden="false" customHeight="false" outlineLevel="0" collapsed="false">
      <c r="A22" s="24" t="s">
        <v>102</v>
      </c>
      <c r="B22" s="24"/>
      <c r="C22" s="24"/>
      <c r="D22" s="24"/>
      <c r="E22" s="24"/>
      <c r="F22" s="24"/>
      <c r="G22" s="24"/>
      <c r="H22" s="24"/>
      <c r="I22" s="24"/>
      <c r="J22" s="24"/>
    </row>
  </sheetData>
  <mergeCells count="5">
    <mergeCell ref="A2:J2"/>
    <mergeCell ref="A4:J4"/>
    <mergeCell ref="A10:J10"/>
    <mergeCell ref="A16:J16"/>
    <mergeCell ref="A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25"/>
    <col collapsed="false" customWidth="true" hidden="false" outlineLevel="0" max="5" min="4" style="1" width="20"/>
    <col collapsed="false" customWidth="true" hidden="false" outlineLevel="0" max="6" min="6" style="1" width="27"/>
    <col collapsed="false" customWidth="true" hidden="false" outlineLevel="0" max="7" min="7" style="1" width="22"/>
    <col collapsed="false" customWidth="true" hidden="false" outlineLevel="0" max="8" min="8" style="1" width="30"/>
    <col collapsed="false" customWidth="true" hidden="false" outlineLevel="0" max="9" min="9" style="1" width="42"/>
  </cols>
  <sheetData>
    <row r="1" customFormat="false" ht="20.25" hidden="false" customHeight="true" outlineLevel="0" collapsed="false">
      <c r="A1" s="2" t="s">
        <v>103</v>
      </c>
      <c r="B1" s="2"/>
      <c r="C1" s="2"/>
      <c r="D1" s="2"/>
      <c r="E1" s="2"/>
      <c r="F1" s="2"/>
      <c r="G1" s="2"/>
      <c r="H1" s="2"/>
      <c r="I1" s="2"/>
    </row>
    <row r="2" customFormat="false" ht="15" hidden="false" customHeight="true" outlineLevel="0" collapsed="false">
      <c r="A2" s="7" t="s">
        <v>104</v>
      </c>
      <c r="B2" s="7"/>
      <c r="C2" s="7"/>
      <c r="D2" s="7"/>
      <c r="E2" s="7"/>
      <c r="F2" s="7"/>
      <c r="G2" s="7"/>
      <c r="H2" s="7"/>
      <c r="I2" s="7"/>
    </row>
    <row r="3" customFormat="false" ht="15" hidden="false" customHeight="true" outlineLevel="0" collapsed="false">
      <c r="A3" s="7"/>
      <c r="B3" s="7"/>
      <c r="C3" s="7"/>
      <c r="D3" s="7"/>
      <c r="E3" s="7"/>
      <c r="F3" s="7"/>
      <c r="G3" s="7"/>
      <c r="H3" s="7"/>
      <c r="I3" s="7"/>
    </row>
    <row r="4" customFormat="false" ht="15" hidden="false" customHeight="true" outlineLevel="0" collapsed="false">
      <c r="A4" s="3"/>
      <c r="B4" s="3"/>
      <c r="C4" s="3"/>
      <c r="D4" s="3"/>
      <c r="E4" s="3"/>
      <c r="F4" s="3"/>
      <c r="G4" s="3"/>
      <c r="H4" s="3"/>
      <c r="I4" s="3"/>
    </row>
    <row r="5" customFormat="false" ht="27.75" hidden="false" customHeight="true" outlineLevel="0" collapsed="false">
      <c r="A5" s="4" t="s">
        <v>72</v>
      </c>
      <c r="B5" s="4" t="s">
        <v>105</v>
      </c>
      <c r="C5" s="4" t="s">
        <v>106</v>
      </c>
      <c r="D5" s="4" t="s">
        <v>107</v>
      </c>
      <c r="E5" s="4" t="s">
        <v>108</v>
      </c>
      <c r="F5" s="4" t="s">
        <v>109</v>
      </c>
      <c r="G5" s="4" t="s">
        <v>110</v>
      </c>
      <c r="H5" s="4" t="s">
        <v>111</v>
      </c>
      <c r="I5" s="4" t="s">
        <v>112</v>
      </c>
    </row>
    <row r="6" customFormat="false" ht="27.75" hidden="false" customHeight="true" outlineLevel="0" collapsed="false">
      <c r="A6" s="27"/>
      <c r="B6" s="28"/>
      <c r="C6" s="28"/>
      <c r="D6" s="28"/>
      <c r="E6" s="28"/>
      <c r="F6" s="29" t="str">
        <f aca="false">IF(A6="","",(B6-C6)*12+D6-E6)</f>
        <v/>
      </c>
      <c r="G6" s="29" t="str">
        <f aca="false">IF(A6="","",F6)</f>
        <v/>
      </c>
      <c r="H6" s="27"/>
      <c r="I6" s="3" t="s">
        <v>113</v>
      </c>
    </row>
    <row r="7" customFormat="false" ht="27.75" hidden="false" customHeight="true" outlineLevel="0" collapsed="false">
      <c r="A7" s="27"/>
      <c r="B7" s="28"/>
      <c r="C7" s="28"/>
      <c r="D7" s="28"/>
      <c r="E7" s="28"/>
      <c r="F7" s="29" t="str">
        <f aca="false">IF(A7="","",(B7-C7)*12+D7-E7)</f>
        <v/>
      </c>
      <c r="G7" s="29" t="str">
        <f aca="false">IF(A7="","",F7)</f>
        <v/>
      </c>
      <c r="H7" s="27"/>
      <c r="I7" s="3" t="s">
        <v>114</v>
      </c>
    </row>
    <row r="8" customFormat="false" ht="27.75" hidden="false" customHeight="true" outlineLevel="0" collapsed="false">
      <c r="A8" s="27"/>
      <c r="B8" s="28"/>
      <c r="C8" s="28"/>
      <c r="D8" s="28"/>
      <c r="E8" s="28"/>
      <c r="F8" s="29" t="str">
        <f aca="false">IF(A8="","",(B8-C8)*12+D8-E8)</f>
        <v/>
      </c>
      <c r="G8" s="29" t="str">
        <f aca="false">IF(A8="","",F8)</f>
        <v/>
      </c>
      <c r="H8" s="27"/>
      <c r="I8" s="3" t="s">
        <v>115</v>
      </c>
    </row>
    <row r="9" customFormat="false" ht="27.75" hidden="false" customHeight="true" outlineLevel="0" collapsed="false">
      <c r="A9" s="27"/>
      <c r="B9" s="28"/>
      <c r="C9" s="28"/>
      <c r="D9" s="28"/>
      <c r="E9" s="28"/>
      <c r="F9" s="29" t="str">
        <f aca="false">IF(A9="","",(B9-C9)*12+D9-E9)</f>
        <v/>
      </c>
      <c r="G9" s="29" t="str">
        <f aca="false">IF(A9="","",F9)</f>
        <v/>
      </c>
      <c r="H9" s="27"/>
      <c r="I9" s="3" t="s">
        <v>116</v>
      </c>
    </row>
    <row r="10" customFormat="false" ht="15" hidden="false" customHeight="true" outlineLevel="0" collapsed="false">
      <c r="A10" s="27"/>
      <c r="B10" s="28"/>
      <c r="C10" s="28"/>
      <c r="D10" s="28"/>
      <c r="E10" s="28"/>
      <c r="F10" s="29" t="str">
        <f aca="false">IF(A10="","",(B10-C10)*12+D10-E10)</f>
        <v/>
      </c>
      <c r="G10" s="29" t="str">
        <f aca="false">IF(A10="","",F10)</f>
        <v/>
      </c>
      <c r="H10" s="27"/>
      <c r="I10" s="3" t="s">
        <v>117</v>
      </c>
    </row>
    <row r="11" customFormat="false" ht="15" hidden="false" customHeight="true" outlineLevel="0" collapsed="false">
      <c r="A11" s="3"/>
      <c r="B11" s="3"/>
      <c r="C11" s="3"/>
      <c r="D11" s="3"/>
      <c r="E11" s="3"/>
      <c r="F11" s="3"/>
      <c r="G11" s="3"/>
      <c r="H11" s="3"/>
      <c r="I11" s="3"/>
    </row>
    <row r="12" customFormat="false" ht="15" hidden="false" customHeight="true" outlineLevel="0" collapsed="false">
      <c r="A12" s="3"/>
      <c r="B12" s="3"/>
      <c r="C12" s="3"/>
      <c r="D12" s="3"/>
      <c r="E12" s="3"/>
      <c r="F12" s="3"/>
      <c r="G12" s="3"/>
      <c r="H12" s="3"/>
      <c r="I12" s="3"/>
    </row>
  </sheetData>
  <mergeCells count="2">
    <mergeCell ref="A1:I1"/>
    <mergeCell ref="A2:I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2"/>
    <col collapsed="false" customWidth="true" hidden="false" outlineLevel="0" max="3" min="3" style="1" width="22"/>
    <col collapsed="false" customWidth="true" hidden="false" outlineLevel="0" max="4" min="4" style="1" width="20"/>
    <col collapsed="false" customWidth="true" hidden="false" outlineLevel="0" max="5" min="5" style="1" width="23"/>
    <col collapsed="false" customWidth="true" hidden="false" outlineLevel="0" max="6" min="6" style="1" width="20"/>
    <col collapsed="false" customWidth="true" hidden="false" outlineLevel="0" max="10" min="7" style="1" width="16"/>
    <col collapsed="false" customWidth="true" hidden="false" outlineLevel="0" max="11" min="11" style="1" width="14"/>
    <col collapsed="false" customWidth="true" hidden="false" outlineLevel="0" max="12" min="12" style="1" width="16"/>
    <col collapsed="false" customWidth="true" hidden="false" outlineLevel="0" max="13" min="13" style="1" width="25"/>
    <col collapsed="false" customWidth="true" hidden="false" outlineLevel="0" max="14" min="14" style="1" width="18"/>
    <col collapsed="false" customWidth="true" hidden="false" outlineLevel="0" max="15" min="15" style="1" width="48"/>
  </cols>
  <sheetData>
    <row r="1" customFormat="false" ht="20.25" hidden="false" customHeight="true" outlineLevel="0" collapsed="false">
      <c r="A1" s="2" t="s">
        <v>118</v>
      </c>
      <c r="B1" s="2"/>
      <c r="C1" s="2"/>
      <c r="D1" s="2"/>
      <c r="E1" s="2"/>
      <c r="F1" s="2"/>
      <c r="G1" s="2"/>
      <c r="H1" s="2"/>
      <c r="I1" s="2"/>
      <c r="J1" s="2"/>
      <c r="K1" s="2"/>
      <c r="L1" s="2"/>
      <c r="M1" s="2"/>
      <c r="N1" s="2"/>
      <c r="O1" s="2"/>
    </row>
    <row r="2" customFormat="false" ht="15" hidden="false" customHeight="true" outlineLevel="0" collapsed="false">
      <c r="A2" s="7" t="s">
        <v>119</v>
      </c>
      <c r="B2" s="7"/>
      <c r="C2" s="7"/>
      <c r="D2" s="7"/>
      <c r="E2" s="7"/>
      <c r="F2" s="7"/>
      <c r="G2" s="7"/>
      <c r="H2" s="7"/>
      <c r="I2" s="7"/>
      <c r="J2" s="7"/>
      <c r="K2" s="7"/>
      <c r="L2" s="7"/>
      <c r="M2" s="7"/>
      <c r="N2" s="7"/>
      <c r="O2" s="7"/>
    </row>
    <row r="3" customFormat="false" ht="15" hidden="false" customHeight="true" outlineLevel="0" collapsed="false">
      <c r="A3" s="7"/>
      <c r="B3" s="7"/>
      <c r="C3" s="7"/>
      <c r="D3" s="7"/>
      <c r="E3" s="7"/>
      <c r="F3" s="7"/>
      <c r="G3" s="7"/>
      <c r="H3" s="7"/>
      <c r="I3" s="7"/>
      <c r="J3" s="7"/>
      <c r="K3" s="7"/>
      <c r="L3" s="7"/>
      <c r="M3" s="7"/>
      <c r="N3" s="7"/>
      <c r="O3" s="7"/>
    </row>
    <row r="4" customFormat="false" ht="15" hidden="false" customHeight="true" outlineLevel="0" collapsed="false">
      <c r="A4" s="3"/>
      <c r="B4" s="3"/>
      <c r="C4" s="3"/>
      <c r="D4" s="3"/>
      <c r="E4" s="3"/>
      <c r="F4" s="3"/>
      <c r="G4" s="3"/>
      <c r="H4" s="3"/>
      <c r="I4" s="3"/>
      <c r="J4" s="3"/>
      <c r="K4" s="3"/>
      <c r="L4" s="3"/>
      <c r="M4" s="3"/>
      <c r="N4" s="3"/>
      <c r="O4" s="3"/>
    </row>
    <row r="5" customFormat="false" ht="27.75" hidden="false" customHeight="true" outlineLevel="0" collapsed="false">
      <c r="A5" s="4" t="s">
        <v>72</v>
      </c>
      <c r="B5" s="4" t="s">
        <v>120</v>
      </c>
      <c r="C5" s="4" t="s">
        <v>121</v>
      </c>
      <c r="D5" s="4" t="s">
        <v>122</v>
      </c>
      <c r="E5" s="4" t="s">
        <v>123</v>
      </c>
      <c r="F5" s="4" t="s">
        <v>124</v>
      </c>
      <c r="G5" s="4" t="s">
        <v>125</v>
      </c>
      <c r="H5" s="4" t="s">
        <v>126</v>
      </c>
      <c r="I5" s="4" t="s">
        <v>127</v>
      </c>
      <c r="J5" s="4" t="s">
        <v>128</v>
      </c>
      <c r="K5" s="4" t="s">
        <v>129</v>
      </c>
      <c r="L5" s="4" t="s">
        <v>130</v>
      </c>
      <c r="M5" s="4" t="s">
        <v>131</v>
      </c>
      <c r="N5" s="4" t="s">
        <v>132</v>
      </c>
      <c r="O5" s="4" t="s">
        <v>133</v>
      </c>
    </row>
    <row r="6" customFormat="false" ht="15" hidden="false" customHeight="true" outlineLevel="0" collapsed="false">
      <c r="A6" s="27"/>
      <c r="B6" s="27"/>
      <c r="C6" s="28"/>
      <c r="D6" s="28"/>
      <c r="E6" s="29" t="str">
        <f aca="false">IF(A6="","",C6+D6)</f>
        <v/>
      </c>
      <c r="F6" s="29"/>
      <c r="G6" s="29"/>
      <c r="H6" s="29"/>
      <c r="I6" s="29"/>
      <c r="J6" s="29"/>
      <c r="K6" s="30" t="n">
        <f aca="false">'OWNER SETTINGS'!$B$4</f>
        <v>0.1</v>
      </c>
      <c r="L6" s="29" t="str">
        <f aca="false">IF(A6="","",-E6+F6/(1+K6)^1+G6/(1+K6)^2+H6/(1+K6)^3+I6/(1+K6)^4+J6/(1+K6)^5)</f>
        <v/>
      </c>
      <c r="M6" s="29" t="str">
        <f aca="false">IF(A6="","",AVERAGE(F6:J6))</f>
        <v/>
      </c>
      <c r="N6" s="31" t="str">
        <f aca="false">IF(OR(A6="",M6&lt;=0),"",E6/M6)</f>
        <v/>
      </c>
      <c r="O6" s="32" t="str">
        <f aca="false">IF(A6="","",IF(L6&gt;0,"Positive NPV: expected cash benefits exceed the required return.",IF(L6=0,"Around break-even at the selected discount rate.","Negative NPV: expected cash benefits may not justify the upfront cost at this return target.")))</f>
        <v/>
      </c>
    </row>
    <row r="7" customFormat="false" ht="15" hidden="false" customHeight="true" outlineLevel="0" collapsed="false">
      <c r="A7" s="27"/>
      <c r="B7" s="27"/>
      <c r="C7" s="28"/>
      <c r="D7" s="28"/>
      <c r="E7" s="29" t="str">
        <f aca="false">IF(A7="","",C7+D7)</f>
        <v/>
      </c>
      <c r="F7" s="29"/>
      <c r="G7" s="29"/>
      <c r="H7" s="29"/>
      <c r="I7" s="29"/>
      <c r="J7" s="29"/>
      <c r="K7" s="30" t="n">
        <f aca="false">'OWNER SETTINGS'!$B$4</f>
        <v>0.1</v>
      </c>
      <c r="L7" s="29" t="str">
        <f aca="false">IF(A7="","",-E7+F7/(1+K7)^1+G7/(1+K7)^2+H7/(1+K7)^3+I7/(1+K7)^4+J7/(1+K7)^5)</f>
        <v/>
      </c>
      <c r="M7" s="29" t="str">
        <f aca="false">IF(A7="","",AVERAGE(F7:J7))</f>
        <v/>
      </c>
      <c r="N7" s="31" t="str">
        <f aca="false">IF(OR(A7="",M7&lt;=0),"",E7/M7)</f>
        <v/>
      </c>
      <c r="O7" s="32" t="str">
        <f aca="false">IF(A7="","",IF(L7&gt;0,"Positive NPV: expected cash benefits exceed the required return.",IF(L7=0,"Around break-even at the selected discount rate.","Negative NPV: expected cash benefits may not justify the upfront cost at this return target.")))</f>
        <v/>
      </c>
    </row>
    <row r="8" customFormat="false" ht="15" hidden="false" customHeight="true" outlineLevel="0" collapsed="false">
      <c r="A8" s="27"/>
      <c r="B8" s="27"/>
      <c r="C8" s="28"/>
      <c r="D8" s="28"/>
      <c r="E8" s="29" t="str">
        <f aca="false">IF(A8="","",C8+D8)</f>
        <v/>
      </c>
      <c r="F8" s="29"/>
      <c r="G8" s="29"/>
      <c r="H8" s="29"/>
      <c r="I8" s="29"/>
      <c r="J8" s="29"/>
      <c r="K8" s="30" t="n">
        <f aca="false">'OWNER SETTINGS'!$B$4</f>
        <v>0.1</v>
      </c>
      <c r="L8" s="29" t="str">
        <f aca="false">IF(A8="","",-E8+F8/(1+K8)^1+G8/(1+K8)^2+H8/(1+K8)^3+I8/(1+K8)^4+J8/(1+K8)^5)</f>
        <v/>
      </c>
      <c r="M8" s="29" t="str">
        <f aca="false">IF(A8="","",AVERAGE(F8:J8))</f>
        <v/>
      </c>
      <c r="N8" s="31" t="str">
        <f aca="false">IF(OR(A8="",M8&lt;=0),"",E8/M8)</f>
        <v/>
      </c>
      <c r="O8" s="32" t="str">
        <f aca="false">IF(A8="","",IF(L8&gt;0,"Positive NPV: expected cash benefits exceed the required return.",IF(L8=0,"Around break-even at the selected discount rate.","Negative NPV: expected cash benefits may not justify the upfront cost at this return target.")))</f>
        <v/>
      </c>
    </row>
    <row r="9" customFormat="false" ht="15" hidden="false" customHeight="true" outlineLevel="0" collapsed="false">
      <c r="A9" s="27"/>
      <c r="B9" s="27"/>
      <c r="C9" s="28"/>
      <c r="D9" s="28"/>
      <c r="E9" s="29" t="str">
        <f aca="false">IF(A9="","",C9+D9)</f>
        <v/>
      </c>
      <c r="F9" s="29"/>
      <c r="G9" s="29"/>
      <c r="H9" s="29"/>
      <c r="I9" s="29"/>
      <c r="J9" s="29"/>
      <c r="K9" s="30" t="n">
        <f aca="false">'OWNER SETTINGS'!$B$4</f>
        <v>0.1</v>
      </c>
      <c r="L9" s="29" t="str">
        <f aca="false">IF(A9="","",-E9+F9/(1+K9)^1+G9/(1+K9)^2+H9/(1+K9)^3+I9/(1+K9)^4+J9/(1+K9)^5)</f>
        <v/>
      </c>
      <c r="M9" s="29" t="str">
        <f aca="false">IF(A9="","",AVERAGE(F9:J9))</f>
        <v/>
      </c>
      <c r="N9" s="31" t="str">
        <f aca="false">IF(OR(A9="",M9&lt;=0),"",E9/M9)</f>
        <v/>
      </c>
      <c r="O9" s="32" t="str">
        <f aca="false">IF(A9="","",IF(L9&gt;0,"Positive NPV: expected cash benefits exceed the required return.",IF(L9=0,"Around break-even at the selected discount rate.","Negative NPV: expected cash benefits may not justify the upfront cost at this return target.")))</f>
        <v/>
      </c>
    </row>
    <row r="10" customFormat="false" ht="15" hidden="false" customHeight="true" outlineLevel="0" collapsed="false">
      <c r="A10" s="27"/>
      <c r="B10" s="27"/>
      <c r="C10" s="28"/>
      <c r="D10" s="28"/>
      <c r="E10" s="29" t="str">
        <f aca="false">IF(A10="","",C10+D10)</f>
        <v/>
      </c>
      <c r="F10" s="29"/>
      <c r="G10" s="29"/>
      <c r="H10" s="29"/>
      <c r="I10" s="29"/>
      <c r="J10" s="29"/>
      <c r="K10" s="30" t="n">
        <f aca="false">'OWNER SETTINGS'!$B$4</f>
        <v>0.1</v>
      </c>
      <c r="L10" s="29" t="str">
        <f aca="false">IF(A10="","",-E10+F10/(1+K10)^1+G10/(1+K10)^2+H10/(1+K10)^3+I10/(1+K10)^4+J10/(1+K10)^5)</f>
        <v/>
      </c>
      <c r="M10" s="29" t="str">
        <f aca="false">IF(A10="","",AVERAGE(F10:J10))</f>
        <v/>
      </c>
      <c r="N10" s="31" t="str">
        <f aca="false">IF(OR(A10="",M10&lt;=0),"",E10/M10)</f>
        <v/>
      </c>
      <c r="O10" s="32" t="str">
        <f aca="false">IF(A10="","",IF(L10&gt;0,"Positive NPV: expected cash benefits exceed the required return.",IF(L10=0,"Around break-even at the selected discount rate.","Negative NPV: expected cash benefits may not justify the upfront cost at this return target.")))</f>
        <v/>
      </c>
    </row>
    <row r="11" customFormat="false" ht="15" hidden="false" customHeight="true" outlineLevel="0" collapsed="false">
      <c r="A11" s="3"/>
      <c r="B11" s="3"/>
      <c r="C11" s="3"/>
      <c r="D11" s="3"/>
      <c r="E11" s="3"/>
      <c r="F11" s="3"/>
      <c r="G11" s="3"/>
      <c r="H11" s="3"/>
      <c r="I11" s="3"/>
      <c r="J11" s="3"/>
      <c r="K11" s="3"/>
      <c r="L11" s="3"/>
      <c r="M11" s="3"/>
      <c r="N11" s="3"/>
      <c r="O11" s="3"/>
    </row>
    <row r="12" customFormat="false" ht="15" hidden="false" customHeight="true" outlineLevel="0" collapsed="false">
      <c r="A12" s="3"/>
      <c r="B12" s="3"/>
      <c r="C12" s="3"/>
      <c r="D12" s="3"/>
      <c r="E12" s="3"/>
      <c r="F12" s="3"/>
      <c r="G12" s="3"/>
      <c r="H12" s="3"/>
      <c r="I12" s="3"/>
      <c r="J12" s="3"/>
      <c r="K12" s="3"/>
      <c r="L12" s="3"/>
      <c r="M12" s="3"/>
      <c r="N12" s="3"/>
      <c r="O12" s="3"/>
    </row>
    <row r="13" customFormat="false" ht="15" hidden="false" customHeight="true" outlineLevel="0" collapsed="false">
      <c r="A13" s="5" t="s">
        <v>134</v>
      </c>
      <c r="B13" s="5"/>
      <c r="C13" s="5"/>
      <c r="D13" s="5"/>
      <c r="E13" s="5"/>
      <c r="F13" s="5"/>
      <c r="G13" s="5"/>
      <c r="H13" s="5"/>
      <c r="I13" s="5"/>
      <c r="J13" s="5"/>
      <c r="K13" s="5"/>
      <c r="L13" s="5"/>
      <c r="M13" s="5"/>
      <c r="N13" s="5"/>
      <c r="O13" s="5"/>
    </row>
    <row r="14" customFormat="false" ht="15" hidden="false" customHeight="true" outlineLevel="0" collapsed="false">
      <c r="A14" s="7" t="s">
        <v>135</v>
      </c>
      <c r="B14" s="7"/>
      <c r="C14" s="7"/>
      <c r="D14" s="7"/>
      <c r="E14" s="7"/>
      <c r="F14" s="7"/>
      <c r="G14" s="7"/>
      <c r="H14" s="7"/>
      <c r="I14" s="7"/>
      <c r="J14" s="7"/>
      <c r="K14" s="7"/>
      <c r="L14" s="7"/>
      <c r="M14" s="7"/>
      <c r="N14" s="7"/>
      <c r="O14" s="7"/>
    </row>
    <row r="15" customFormat="false" ht="15" hidden="false" customHeight="true" outlineLevel="0" collapsed="false">
      <c r="A15" s="7"/>
      <c r="B15" s="7"/>
      <c r="C15" s="7"/>
      <c r="D15" s="7"/>
      <c r="E15" s="7"/>
      <c r="F15" s="7"/>
      <c r="G15" s="7"/>
      <c r="H15" s="7"/>
      <c r="I15" s="7"/>
      <c r="J15" s="7"/>
      <c r="K15" s="7"/>
      <c r="L15" s="7"/>
      <c r="M15" s="7"/>
      <c r="N15" s="7"/>
      <c r="O15" s="7"/>
    </row>
    <row r="16" customFormat="false" ht="15" hidden="false" customHeight="true" outlineLevel="0" collapsed="false">
      <c r="A16" s="7"/>
      <c r="B16" s="7"/>
      <c r="C16" s="7"/>
      <c r="D16" s="7"/>
      <c r="E16" s="7"/>
      <c r="F16" s="7"/>
      <c r="G16" s="7"/>
      <c r="H16" s="7"/>
      <c r="I16" s="7"/>
      <c r="J16" s="7"/>
      <c r="K16" s="7"/>
      <c r="L16" s="7"/>
      <c r="M16" s="7"/>
      <c r="N16" s="7"/>
      <c r="O16" s="7"/>
    </row>
    <row r="17" customFormat="false" ht="15" hidden="false" customHeight="true" outlineLevel="0" collapsed="false">
      <c r="A17" s="3"/>
      <c r="B17" s="3"/>
      <c r="C17" s="3"/>
      <c r="D17" s="3"/>
      <c r="E17" s="3"/>
      <c r="F17" s="3"/>
      <c r="G17" s="3"/>
      <c r="H17" s="3"/>
      <c r="I17" s="3"/>
      <c r="J17" s="3"/>
      <c r="K17" s="3"/>
      <c r="L17" s="3"/>
      <c r="M17" s="3"/>
      <c r="N17" s="3"/>
      <c r="O17" s="3"/>
    </row>
    <row r="18" customFormat="false" ht="15" hidden="false" customHeight="true" outlineLevel="0" collapsed="false">
      <c r="A18" s="3"/>
      <c r="B18" s="3"/>
      <c r="C18" s="3"/>
      <c r="D18" s="3"/>
      <c r="E18" s="3"/>
      <c r="F18" s="3"/>
      <c r="G18" s="3"/>
      <c r="H18" s="3"/>
      <c r="I18" s="3"/>
      <c r="J18" s="3"/>
      <c r="K18" s="3"/>
      <c r="L18" s="3"/>
      <c r="M18" s="3"/>
      <c r="N18" s="3"/>
      <c r="O18" s="3"/>
    </row>
  </sheetData>
  <mergeCells count="4">
    <mergeCell ref="A1:O1"/>
    <mergeCell ref="A2:O3"/>
    <mergeCell ref="A13:O13"/>
    <mergeCell ref="A14:O16"/>
  </mergeCells>
  <conditionalFormatting sqref="L6:L10">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3"/>
    <col collapsed="false" customWidth="true" hidden="false" outlineLevel="0" max="3" min="3" style="1" width="25"/>
    <col collapsed="false" customWidth="true" hidden="false" outlineLevel="0" max="4" min="4" style="1" width="23"/>
    <col collapsed="false" customWidth="true" hidden="false" outlineLevel="0" max="5" min="5" style="1" width="26"/>
    <col collapsed="false" customWidth="true" hidden="false" outlineLevel="0" max="6" min="6" style="1" width="28"/>
    <col collapsed="false" customWidth="true" hidden="false" outlineLevel="0" max="7" min="7" style="1" width="22"/>
    <col collapsed="false" customWidth="true" hidden="false" outlineLevel="0" max="8" min="8" style="1" width="14"/>
    <col collapsed="false" customWidth="true" hidden="false" outlineLevel="0" max="9" min="9" style="1" width="24"/>
    <col collapsed="false" customWidth="true" hidden="false" outlineLevel="0" max="10" min="10" style="1" width="26"/>
    <col collapsed="false" customWidth="true" hidden="false" outlineLevel="0" max="11" min="11" style="1" width="24"/>
    <col collapsed="false" customWidth="true" hidden="false" outlineLevel="0" max="12" min="12" style="1" width="27"/>
    <col collapsed="false" customWidth="true" hidden="false" outlineLevel="0" max="13" min="13" style="1" width="28"/>
    <col collapsed="false" customWidth="true" hidden="false" outlineLevel="0" max="14" min="14" style="1" width="14"/>
    <col collapsed="false" customWidth="true" hidden="false" outlineLevel="0" max="15" min="15" style="1" width="9"/>
    <col collapsed="false" customWidth="true" hidden="false" outlineLevel="0" max="16" min="16" style="1" width="15"/>
    <col collapsed="false" customWidth="true" hidden="false" outlineLevel="0" max="17" min="17" style="1" width="35"/>
    <col collapsed="false" customWidth="true" hidden="false" outlineLevel="0" max="18" min="18" style="1" width="16"/>
    <col collapsed="false" customWidth="true" hidden="false" outlineLevel="0" max="20" min="19" style="1" width="18"/>
    <col collapsed="false" customWidth="true" hidden="false" outlineLevel="0" max="21" min="21" style="1" width="14"/>
  </cols>
  <sheetData>
    <row r="1" customFormat="false" ht="20.25" hidden="false" customHeight="true" outlineLevel="0" collapsed="false">
      <c r="A1" s="2" t="s">
        <v>136</v>
      </c>
      <c r="B1" s="2"/>
      <c r="C1" s="2"/>
      <c r="D1" s="2"/>
      <c r="E1" s="2"/>
      <c r="F1" s="2"/>
      <c r="G1" s="2"/>
      <c r="H1" s="2"/>
      <c r="I1" s="2"/>
      <c r="J1" s="2"/>
      <c r="K1" s="2"/>
      <c r="L1" s="2"/>
      <c r="M1" s="2"/>
      <c r="N1" s="2"/>
      <c r="O1" s="2"/>
      <c r="P1" s="2"/>
      <c r="Q1" s="2"/>
      <c r="R1" s="2"/>
      <c r="S1" s="2"/>
      <c r="T1" s="2"/>
      <c r="U1" s="2"/>
    </row>
    <row r="2" customFormat="false" ht="15" hidden="false" customHeight="true" outlineLevel="0" collapsed="false">
      <c r="A2" s="7" t="s">
        <v>137</v>
      </c>
      <c r="B2" s="7"/>
      <c r="C2" s="7"/>
      <c r="D2" s="7"/>
      <c r="E2" s="7"/>
      <c r="F2" s="7"/>
      <c r="G2" s="7"/>
      <c r="H2" s="7"/>
      <c r="I2" s="7"/>
      <c r="J2" s="7"/>
      <c r="K2" s="7"/>
      <c r="L2" s="7"/>
      <c r="M2" s="7"/>
      <c r="N2" s="7"/>
      <c r="O2" s="7"/>
      <c r="P2" s="7"/>
      <c r="Q2" s="7"/>
      <c r="R2" s="7"/>
      <c r="S2" s="7"/>
      <c r="T2" s="7"/>
      <c r="U2" s="7"/>
    </row>
    <row r="3" customFormat="false" ht="15" hidden="false" customHeight="true" outlineLevel="0" collapsed="false">
      <c r="A3" s="7"/>
      <c r="B3" s="7"/>
      <c r="C3" s="7"/>
      <c r="D3" s="7"/>
      <c r="E3" s="7"/>
      <c r="F3" s="7"/>
      <c r="G3" s="7"/>
      <c r="H3" s="7"/>
      <c r="I3" s="7"/>
      <c r="J3" s="7"/>
      <c r="K3" s="7"/>
      <c r="L3" s="7"/>
      <c r="M3" s="7"/>
      <c r="N3" s="7"/>
      <c r="O3" s="7"/>
      <c r="P3" s="7"/>
      <c r="Q3" s="7"/>
      <c r="R3" s="7"/>
      <c r="S3" s="7"/>
      <c r="T3" s="7"/>
      <c r="U3" s="7"/>
    </row>
    <row r="4" customFormat="false" ht="15" hidden="false" customHeight="true" outlineLevel="0" collapsed="false">
      <c r="A4" s="3"/>
      <c r="B4" s="3"/>
      <c r="C4" s="3"/>
      <c r="D4" s="3"/>
      <c r="E4" s="3"/>
      <c r="F4" s="3"/>
      <c r="G4" s="3"/>
      <c r="H4" s="3"/>
      <c r="I4" s="3"/>
      <c r="J4" s="3"/>
      <c r="K4" s="3"/>
      <c r="L4" s="3"/>
      <c r="M4" s="3"/>
      <c r="N4" s="3"/>
      <c r="O4" s="3"/>
      <c r="P4" s="3"/>
      <c r="Q4" s="3"/>
      <c r="R4" s="3"/>
      <c r="S4" s="3"/>
      <c r="T4" s="3"/>
      <c r="U4" s="3"/>
    </row>
    <row r="5" customFormat="false" ht="41.25" hidden="false" customHeight="true" outlineLevel="0" collapsed="false">
      <c r="A5" s="4" t="s">
        <v>72</v>
      </c>
      <c r="B5" s="4" t="s">
        <v>138</v>
      </c>
      <c r="C5" s="4" t="s">
        <v>139</v>
      </c>
      <c r="D5" s="4" t="s">
        <v>140</v>
      </c>
      <c r="E5" s="4" t="s">
        <v>141</v>
      </c>
      <c r="F5" s="4" t="s">
        <v>142</v>
      </c>
      <c r="G5" s="4" t="s">
        <v>143</v>
      </c>
      <c r="H5" s="4" t="s">
        <v>144</v>
      </c>
      <c r="I5" s="4" t="s">
        <v>145</v>
      </c>
      <c r="J5" s="4" t="s">
        <v>146</v>
      </c>
      <c r="K5" s="4" t="s">
        <v>147</v>
      </c>
      <c r="L5" s="4" t="s">
        <v>148</v>
      </c>
      <c r="M5" s="4" t="s">
        <v>149</v>
      </c>
      <c r="N5" s="4" t="s">
        <v>150</v>
      </c>
      <c r="O5" s="4" t="s">
        <v>151</v>
      </c>
      <c r="P5" s="4" t="s">
        <v>152</v>
      </c>
      <c r="Q5" s="4" t="s">
        <v>153</v>
      </c>
      <c r="R5" s="4" t="s">
        <v>130</v>
      </c>
      <c r="S5" s="4" t="s">
        <v>154</v>
      </c>
      <c r="T5" s="4" t="s">
        <v>155</v>
      </c>
      <c r="U5" s="4" t="s">
        <v>156</v>
      </c>
    </row>
    <row r="6" customFormat="false" ht="15" hidden="false" customHeight="true" outlineLevel="0" collapsed="false">
      <c r="A6" s="33" t="str">
        <f aca="false">IF('MONEY CALCULATOR'!A6="","",'MONEY CALCULATOR'!A6)</f>
        <v/>
      </c>
      <c r="B6" s="27"/>
      <c r="C6" s="27"/>
      <c r="D6" s="27"/>
      <c r="E6" s="27"/>
      <c r="F6" s="27"/>
      <c r="G6" s="27"/>
      <c r="H6" s="32" t="str">
        <f aca="false">IF(A6="","",IF(COUNTIF(B6:G6,"No")&gt;0,"PAUSE",IF(COUNTBLANK(B6:G6)&gt;0,"INCOMPLETE","READY")))</f>
        <v/>
      </c>
      <c r="I6" s="32"/>
      <c r="J6" s="32"/>
      <c r="K6" s="32"/>
      <c r="L6" s="32"/>
      <c r="M6" s="32"/>
      <c r="N6" s="34" t="str">
        <f aca="false">IF(H6&lt;&gt;"READY","",I6*'OWNER SETTINGS'!$B$5+J6*'OWNER SETTINGS'!$B$6+K6*'OWNER SETTINGS'!$B$7+L6*'OWNER SETTINGS'!$B$8+M6*'OWNER SETTINGS'!$B$9)</f>
        <v/>
      </c>
      <c r="O6" s="32" t="str">
        <f aca="false">IF(H6&lt;&gt;"READY","",1+COUNTIFS($H$6:$H$10,"READY",$N$6:$N$10,"&gt;"&amp;N6))</f>
        <v/>
      </c>
      <c r="P6" s="27"/>
      <c r="Q6" s="27"/>
      <c r="R6" s="35" t="str">
        <f aca="false">IF('MONEY CALCULATOR'!L6="","",'MONEY CALCULATOR'!L6)</f>
        <v/>
      </c>
      <c r="S6" s="36" t="str">
        <f aca="false">IF('MONEY CALCULATOR'!N6="","",'MONEY CALCULATOR'!N6)</f>
        <v/>
      </c>
      <c r="T6" s="35" t="str">
        <f aca="false">IF('MONEY CALCULATOR'!E6="","",'MONEY CALCULATOR'!E6)</f>
        <v/>
      </c>
      <c r="U6" s="30" t="n">
        <f aca="false">'MONEY CALCULATOR'!K6</f>
        <v>0.1</v>
      </c>
    </row>
    <row r="7" customFormat="false" ht="15" hidden="false" customHeight="true" outlineLevel="0" collapsed="false">
      <c r="A7" s="33" t="str">
        <f aca="false">IF('MONEY CALCULATOR'!A7="","",'MONEY CALCULATOR'!A7)</f>
        <v/>
      </c>
      <c r="B7" s="27"/>
      <c r="C7" s="27"/>
      <c r="D7" s="27"/>
      <c r="E7" s="27"/>
      <c r="F7" s="27"/>
      <c r="G7" s="27"/>
      <c r="H7" s="32" t="str">
        <f aca="false">IF(A7="","",IF(COUNTIF(B7:G7,"No")&gt;0,"PAUSE",IF(COUNTBLANK(B7:G7)&gt;0,"INCOMPLETE","READY")))</f>
        <v/>
      </c>
      <c r="I7" s="32"/>
      <c r="J7" s="32"/>
      <c r="K7" s="32"/>
      <c r="L7" s="32"/>
      <c r="M7" s="32"/>
      <c r="N7" s="34" t="str">
        <f aca="false">IF(H7&lt;&gt;"READY","",I7*'OWNER SETTINGS'!$B$5+J7*'OWNER SETTINGS'!$B$6+K7*'OWNER SETTINGS'!$B$7+L7*'OWNER SETTINGS'!$B$8+M7*'OWNER SETTINGS'!$B$9)</f>
        <v/>
      </c>
      <c r="O7" s="32" t="str">
        <f aca="false">IF(H7&lt;&gt;"READY","",1+COUNTIFS($H$6:$H$10,"READY",$N$6:$N$10,"&gt;"&amp;N7))</f>
        <v/>
      </c>
      <c r="P7" s="27"/>
      <c r="Q7" s="27"/>
      <c r="R7" s="35" t="str">
        <f aca="false">IF('MONEY CALCULATOR'!L7="","",'MONEY CALCULATOR'!L7)</f>
        <v/>
      </c>
      <c r="S7" s="36" t="str">
        <f aca="false">IF('MONEY CALCULATOR'!N7="","",'MONEY CALCULATOR'!N7)</f>
        <v/>
      </c>
      <c r="T7" s="35" t="str">
        <f aca="false">IF('MONEY CALCULATOR'!E7="","",'MONEY CALCULATOR'!E7)</f>
        <v/>
      </c>
      <c r="U7" s="30" t="n">
        <f aca="false">'MONEY CALCULATOR'!K7</f>
        <v>0.1</v>
      </c>
    </row>
    <row r="8" customFormat="false" ht="15" hidden="false" customHeight="true" outlineLevel="0" collapsed="false">
      <c r="A8" s="33" t="str">
        <f aca="false">IF('MONEY CALCULATOR'!A8="","",'MONEY CALCULATOR'!A8)</f>
        <v/>
      </c>
      <c r="B8" s="27"/>
      <c r="C8" s="27"/>
      <c r="D8" s="27"/>
      <c r="E8" s="27"/>
      <c r="F8" s="27"/>
      <c r="G8" s="27"/>
      <c r="H8" s="32" t="str">
        <f aca="false">IF(A8="","",IF(COUNTIF(B8:G8,"No")&gt;0,"PAUSE",IF(COUNTBLANK(B8:G8)&gt;0,"INCOMPLETE","READY")))</f>
        <v/>
      </c>
      <c r="I8" s="32"/>
      <c r="J8" s="32"/>
      <c r="K8" s="32"/>
      <c r="L8" s="32"/>
      <c r="M8" s="32"/>
      <c r="N8" s="34" t="str">
        <f aca="false">IF(H8&lt;&gt;"READY","",I8*'OWNER SETTINGS'!$B$5+J8*'OWNER SETTINGS'!$B$6+K8*'OWNER SETTINGS'!$B$7+L8*'OWNER SETTINGS'!$B$8+M8*'OWNER SETTINGS'!$B$9)</f>
        <v/>
      </c>
      <c r="O8" s="32" t="str">
        <f aca="false">IF(H8&lt;&gt;"READY","",1+COUNTIFS($H$6:$H$10,"READY",$N$6:$N$10,"&gt;"&amp;N8))</f>
        <v/>
      </c>
      <c r="P8" s="27"/>
      <c r="Q8" s="27"/>
      <c r="R8" s="35" t="str">
        <f aca="false">IF('MONEY CALCULATOR'!L8="","",'MONEY CALCULATOR'!L8)</f>
        <v/>
      </c>
      <c r="S8" s="36" t="str">
        <f aca="false">IF('MONEY CALCULATOR'!N8="","",'MONEY CALCULATOR'!N8)</f>
        <v/>
      </c>
      <c r="T8" s="35" t="str">
        <f aca="false">IF('MONEY CALCULATOR'!E8="","",'MONEY CALCULATOR'!E8)</f>
        <v/>
      </c>
      <c r="U8" s="30" t="n">
        <f aca="false">'MONEY CALCULATOR'!K8</f>
        <v>0.1</v>
      </c>
    </row>
    <row r="9" customFormat="false" ht="15" hidden="false" customHeight="true" outlineLevel="0" collapsed="false">
      <c r="A9" s="33" t="str">
        <f aca="false">IF('MONEY CALCULATOR'!A9="","",'MONEY CALCULATOR'!A9)</f>
        <v/>
      </c>
      <c r="B9" s="27"/>
      <c r="C9" s="27"/>
      <c r="D9" s="27"/>
      <c r="E9" s="27"/>
      <c r="F9" s="27"/>
      <c r="G9" s="27"/>
      <c r="H9" s="32" t="str">
        <f aca="false">IF(A9="","",IF(COUNTIF(B9:G9,"No")&gt;0,"PAUSE",IF(COUNTBLANK(B9:G9)&gt;0,"INCOMPLETE","READY")))</f>
        <v/>
      </c>
      <c r="I9" s="32"/>
      <c r="J9" s="32"/>
      <c r="K9" s="32"/>
      <c r="L9" s="32"/>
      <c r="M9" s="32"/>
      <c r="N9" s="34" t="str">
        <f aca="false">IF(H9&lt;&gt;"READY","",I9*'OWNER SETTINGS'!$B$5+J9*'OWNER SETTINGS'!$B$6+K9*'OWNER SETTINGS'!$B$7+L9*'OWNER SETTINGS'!$B$8+M9*'OWNER SETTINGS'!$B$9)</f>
        <v/>
      </c>
      <c r="O9" s="32" t="str">
        <f aca="false">IF(H9&lt;&gt;"READY","",1+COUNTIFS($H$6:$H$10,"READY",$N$6:$N$10,"&gt;"&amp;N9))</f>
        <v/>
      </c>
      <c r="P9" s="27"/>
      <c r="Q9" s="27"/>
      <c r="R9" s="35" t="str">
        <f aca="false">IF('MONEY CALCULATOR'!L9="","",'MONEY CALCULATOR'!L9)</f>
        <v/>
      </c>
      <c r="S9" s="36" t="str">
        <f aca="false">IF('MONEY CALCULATOR'!N9="","",'MONEY CALCULATOR'!N9)</f>
        <v/>
      </c>
      <c r="T9" s="35" t="str">
        <f aca="false">IF('MONEY CALCULATOR'!E9="","",'MONEY CALCULATOR'!E9)</f>
        <v/>
      </c>
      <c r="U9" s="30" t="n">
        <f aca="false">'MONEY CALCULATOR'!K9</f>
        <v>0.1</v>
      </c>
    </row>
    <row r="10" customFormat="false" ht="15" hidden="false" customHeight="true" outlineLevel="0" collapsed="false">
      <c r="A10" s="33" t="str">
        <f aca="false">IF('MONEY CALCULATOR'!A10="","",'MONEY CALCULATOR'!A10)</f>
        <v/>
      </c>
      <c r="B10" s="27"/>
      <c r="C10" s="27"/>
      <c r="D10" s="27"/>
      <c r="E10" s="27"/>
      <c r="F10" s="27"/>
      <c r="G10" s="27"/>
      <c r="H10" s="32" t="str">
        <f aca="false">IF(A10="","",IF(COUNTIF(B10:G10,"No")&gt;0,"PAUSE",IF(COUNTBLANK(B10:G10)&gt;0,"INCOMPLETE","READY")))</f>
        <v/>
      </c>
      <c r="I10" s="32"/>
      <c r="J10" s="32"/>
      <c r="K10" s="32"/>
      <c r="L10" s="32"/>
      <c r="M10" s="32"/>
      <c r="N10" s="34" t="str">
        <f aca="false">IF(H10&lt;&gt;"READY","",I10*'OWNER SETTINGS'!$B$5+J10*'OWNER SETTINGS'!$B$6+K10*'OWNER SETTINGS'!$B$7+L10*'OWNER SETTINGS'!$B$8+M10*'OWNER SETTINGS'!$B$9)</f>
        <v/>
      </c>
      <c r="O10" s="32" t="str">
        <f aca="false">IF(H10&lt;&gt;"READY","",1+COUNTIFS($H$6:$H$10,"READY",$N$6:$N$10,"&gt;"&amp;N10))</f>
        <v/>
      </c>
      <c r="P10" s="27"/>
      <c r="Q10" s="27"/>
      <c r="R10" s="35" t="str">
        <f aca="false">IF('MONEY CALCULATOR'!L10="","",'MONEY CALCULATOR'!L10)</f>
        <v/>
      </c>
      <c r="S10" s="36" t="str">
        <f aca="false">IF('MONEY CALCULATOR'!N10="","",'MONEY CALCULATOR'!N10)</f>
        <v/>
      </c>
      <c r="T10" s="35" t="str">
        <f aca="false">IF('MONEY CALCULATOR'!E10="","",'MONEY CALCULATOR'!E10)</f>
        <v/>
      </c>
      <c r="U10" s="30" t="n">
        <f aca="false">'MONEY CALCULATOR'!K10</f>
        <v>0.1</v>
      </c>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3"/>
      <c r="U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row>
    <row r="13" customFormat="false" ht="15" hidden="false" customHeight="true" outlineLevel="0" collapsed="false">
      <c r="A13" s="5" t="s">
        <v>157</v>
      </c>
      <c r="B13" s="5"/>
      <c r="C13" s="5"/>
      <c r="D13" s="5"/>
      <c r="E13" s="5"/>
      <c r="F13" s="5"/>
      <c r="G13" s="5"/>
      <c r="H13" s="5"/>
      <c r="I13" s="5"/>
      <c r="J13" s="5"/>
      <c r="K13" s="5"/>
      <c r="L13" s="5"/>
      <c r="M13" s="5"/>
      <c r="N13" s="5"/>
      <c r="O13" s="5"/>
      <c r="P13" s="5"/>
      <c r="Q13" s="5"/>
      <c r="R13" s="5"/>
      <c r="S13" s="5"/>
      <c r="T13" s="5"/>
      <c r="U13" s="5"/>
    </row>
    <row r="14" customFormat="false" ht="15" hidden="false" customHeight="true" outlineLevel="0" collapsed="false">
      <c r="A14" s="4" t="s">
        <v>158</v>
      </c>
      <c r="B14" s="4" t="s">
        <v>159</v>
      </c>
      <c r="C14" s="4" t="s">
        <v>160</v>
      </c>
      <c r="D14" s="4" t="s">
        <v>161</v>
      </c>
      <c r="E14" s="4" t="s">
        <v>162</v>
      </c>
      <c r="F14" s="4" t="s">
        <v>163</v>
      </c>
      <c r="G14" s="3"/>
      <c r="H14" s="3"/>
      <c r="I14" s="3"/>
      <c r="J14" s="3"/>
      <c r="K14" s="3"/>
      <c r="L14" s="3"/>
      <c r="M14" s="3"/>
      <c r="N14" s="3"/>
      <c r="O14" s="3"/>
      <c r="P14" s="3"/>
      <c r="Q14" s="3"/>
      <c r="R14" s="3"/>
      <c r="S14" s="3"/>
      <c r="T14" s="3"/>
      <c r="U14" s="3"/>
    </row>
    <row r="15" customFormat="false" ht="15" hidden="false" customHeight="true" outlineLevel="0" collapsed="false">
      <c r="A15" s="3" t="n">
        <v>1</v>
      </c>
      <c r="B15" s="3" t="s">
        <v>164</v>
      </c>
      <c r="C15" s="3" t="s">
        <v>165</v>
      </c>
      <c r="D15" s="3" t="s">
        <v>166</v>
      </c>
      <c r="E15" s="3" t="s">
        <v>167</v>
      </c>
      <c r="F15" s="3" t="s">
        <v>168</v>
      </c>
      <c r="G15" s="3"/>
      <c r="H15" s="3"/>
      <c r="I15" s="3"/>
      <c r="J15" s="3"/>
      <c r="K15" s="3"/>
      <c r="L15" s="3"/>
      <c r="M15" s="3"/>
      <c r="N15" s="3"/>
      <c r="O15" s="3"/>
      <c r="P15" s="3"/>
      <c r="Q15" s="3"/>
      <c r="R15" s="3"/>
      <c r="S15" s="3"/>
      <c r="T15" s="3"/>
      <c r="U15" s="3"/>
    </row>
    <row r="16" customFormat="false" ht="15" hidden="false" customHeight="true" outlineLevel="0" collapsed="false">
      <c r="A16" s="3" t="n">
        <v>2</v>
      </c>
      <c r="B16" s="3" t="s">
        <v>169</v>
      </c>
      <c r="C16" s="3" t="s">
        <v>170</v>
      </c>
      <c r="D16" s="3" t="s">
        <v>171</v>
      </c>
      <c r="E16" s="3" t="s">
        <v>172</v>
      </c>
      <c r="F16" s="3" t="s">
        <v>173</v>
      </c>
      <c r="G16" s="3"/>
      <c r="H16" s="3"/>
      <c r="I16" s="3"/>
      <c r="J16" s="3"/>
      <c r="K16" s="3"/>
      <c r="L16" s="3"/>
      <c r="M16" s="3"/>
      <c r="N16" s="3"/>
      <c r="O16" s="3"/>
      <c r="P16" s="3"/>
      <c r="Q16" s="3"/>
      <c r="R16" s="3"/>
      <c r="S16" s="3"/>
      <c r="T16" s="3"/>
      <c r="U16" s="3"/>
    </row>
    <row r="17" customFormat="false" ht="15" hidden="false" customHeight="true" outlineLevel="0" collapsed="false">
      <c r="A17" s="3" t="n">
        <v>3</v>
      </c>
      <c r="B17" s="3" t="s">
        <v>174</v>
      </c>
      <c r="C17" s="3" t="s">
        <v>175</v>
      </c>
      <c r="D17" s="3" t="s">
        <v>176</v>
      </c>
      <c r="E17" s="3" t="s">
        <v>177</v>
      </c>
      <c r="F17" s="3" t="s">
        <v>178</v>
      </c>
      <c r="G17" s="3"/>
      <c r="H17" s="3"/>
      <c r="I17" s="3"/>
      <c r="J17" s="3"/>
      <c r="K17" s="3"/>
      <c r="L17" s="3"/>
      <c r="M17" s="3"/>
      <c r="N17" s="3"/>
      <c r="O17" s="3"/>
      <c r="P17" s="3"/>
      <c r="Q17" s="3"/>
      <c r="R17" s="3"/>
      <c r="S17" s="3"/>
      <c r="T17" s="3"/>
      <c r="U17" s="3"/>
    </row>
    <row r="18" customFormat="false" ht="15" hidden="false" customHeight="true" outlineLevel="0" collapsed="false">
      <c r="A18" s="3" t="n">
        <v>4</v>
      </c>
      <c r="B18" s="3" t="s">
        <v>179</v>
      </c>
      <c r="C18" s="3" t="s">
        <v>180</v>
      </c>
      <c r="D18" s="3" t="s">
        <v>181</v>
      </c>
      <c r="E18" s="3" t="s">
        <v>182</v>
      </c>
      <c r="F18" s="3" t="s">
        <v>183</v>
      </c>
      <c r="G18" s="3"/>
      <c r="H18" s="3"/>
      <c r="I18" s="3"/>
      <c r="J18" s="3"/>
      <c r="K18" s="3"/>
      <c r="L18" s="3"/>
      <c r="M18" s="3"/>
      <c r="N18" s="3"/>
      <c r="O18" s="3"/>
      <c r="P18" s="3"/>
      <c r="Q18" s="3"/>
      <c r="R18" s="3"/>
      <c r="S18" s="3"/>
      <c r="T18" s="3"/>
      <c r="U18" s="3"/>
    </row>
    <row r="19" customFormat="false" ht="15" hidden="false" customHeight="true" outlineLevel="0" collapsed="false">
      <c r="A19" s="3" t="n">
        <v>5</v>
      </c>
      <c r="B19" s="3" t="s">
        <v>184</v>
      </c>
      <c r="C19" s="3" t="s">
        <v>185</v>
      </c>
      <c r="D19" s="3" t="s">
        <v>186</v>
      </c>
      <c r="E19" s="3" t="s">
        <v>187</v>
      </c>
      <c r="F19" s="3" t="s">
        <v>188</v>
      </c>
      <c r="G19" s="3"/>
      <c r="H19" s="3"/>
      <c r="I19" s="3"/>
      <c r="J19" s="3"/>
      <c r="K19" s="3"/>
      <c r="L19" s="3"/>
      <c r="M19" s="3"/>
      <c r="N19" s="3"/>
      <c r="O19" s="3"/>
      <c r="P19" s="3"/>
      <c r="Q19" s="3"/>
      <c r="R19" s="3"/>
      <c r="S19" s="3"/>
      <c r="T19" s="3"/>
      <c r="U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row>
  </sheetData>
  <mergeCells count="3">
    <mergeCell ref="A1:U1"/>
    <mergeCell ref="A2:U3"/>
    <mergeCell ref="A13:U13"/>
  </mergeCells>
  <conditionalFormatting sqref="H6:H10">
    <cfRule type="expression" priority="2" aboveAverage="0" equalAverage="0" bottom="0" percent="0" rank="0" text="" dxfId="1">
      <formula>H6="READY"</formula>
    </cfRule>
    <cfRule type="expression" priority="3" aboveAverage="0" equalAverage="0" bottom="0" percent="0" rank="0" text="" dxfId="2">
      <formula>H6="PAUSE"</formula>
    </cfRule>
    <cfRule type="expression" priority="4" aboveAverage="0" equalAverage="0" bottom="0" percent="0" rank="0" text="" dxfId="3">
      <formula>H6="INCOMPLETE"</formula>
    </cfRule>
  </conditionalFormatting>
  <conditionalFormatting sqref="N6:N10">
    <cfRule type="colorScale" priority="5">
      <colorScale>
        <cfvo type="min" val="0"/>
        <cfvo type="percentile" val="50"/>
        <cfvo type="max" val="0"/>
        <color rgb="FFF4CCCC"/>
        <color rgb="FFFFF2CC"/>
        <color rgb="FFD9EAD3"/>
      </colorScale>
    </cfRule>
  </conditionalFormatting>
  <dataValidations count="12">
    <dataValidation allowBlank="false" errorStyle="stop" operator="between" showDropDown="false" showErrorMessage="false" showInputMessage="false" sqref="B6:B10" type="list">
      <formula1>"Yes,No"</formula1>
      <formula2>0</formula2>
    </dataValidation>
    <dataValidation allowBlank="false" errorStyle="stop" operator="between" showDropDown="false" showErrorMessage="false" showInputMessage="false" sqref="C6:C10" type="list">
      <formula1>"Yes,No"</formula1>
      <formula2>0</formula2>
    </dataValidation>
    <dataValidation allowBlank="false" errorStyle="stop" operator="between" showDropDown="false" showErrorMessage="false" showInputMessage="false" sqref="D6:D10" type="list">
      <formula1>"Yes,No"</formula1>
      <formula2>0</formula2>
    </dataValidation>
    <dataValidation allowBlank="false" errorStyle="stop" operator="between" showDropDown="false" showErrorMessage="false" showInputMessage="false" sqref="E6:E10" type="list">
      <formula1>"Yes,No"</formula1>
      <formula2>0</formula2>
    </dataValidation>
    <dataValidation allowBlank="false" errorStyle="stop" operator="between" showDropDown="false" showErrorMessage="false" showInputMessage="false" sqref="F6:F10" type="list">
      <formula1>"Yes,No"</formula1>
      <formula2>0</formula2>
    </dataValidation>
    <dataValidation allowBlank="false" errorStyle="stop" operator="between" showDropDown="false" showErrorMessage="false" showInputMessage="false" sqref="G6:G10" type="list">
      <formula1>"Yes,No"</formula1>
      <formula2>0</formula2>
    </dataValidation>
    <dataValidation allowBlank="false" errorStyle="stop" operator="between" showDropDown="false" showErrorMessage="false" showInputMessage="false" sqref="I6:I10" type="list">
      <formula1>"1,2,3,4,5"</formula1>
      <formula2>0</formula2>
    </dataValidation>
    <dataValidation allowBlank="false" errorStyle="stop" operator="between" showDropDown="false" showErrorMessage="false" showInputMessage="false" sqref="J6:J10" type="list">
      <formula1>"1,2,3,4,5"</formula1>
      <formula2>0</formula2>
    </dataValidation>
    <dataValidation allowBlank="false" errorStyle="stop" operator="between" showDropDown="false" showErrorMessage="false" showInputMessage="false" sqref="K6:K10" type="list">
      <formula1>"1,2,3,4,5"</formula1>
      <formula2>0</formula2>
    </dataValidation>
    <dataValidation allowBlank="false" errorStyle="stop" operator="between" showDropDown="false" showErrorMessage="false" showInputMessage="false" sqref="L6:L10" type="list">
      <formula1>"1,2,3,4,5"</formula1>
      <formula2>0</formula2>
    </dataValidation>
    <dataValidation allowBlank="false" errorStyle="stop" operator="between" showDropDown="false" showErrorMessage="false" showInputMessage="false" sqref="M6:M10" type="list">
      <formula1>"1,2,3,4,5"</formula1>
      <formula2>0</formula2>
    </dataValidation>
    <dataValidation allowBlank="false" errorStyle="stop" operator="between" showDropDown="false" showErrorMessage="false" showInputMessage="false" sqref="P6:P10" type="list">
      <formula1>"Approve,Stage,Pause,Reject,Still Deciding"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14"/>
    <col collapsed="false" customWidth="true" hidden="false" outlineLevel="0" max="3" min="3" style="1" width="18"/>
    <col collapsed="false" customWidth="true" hidden="false" outlineLevel="0" max="4" min="4" style="1" width="16"/>
    <col collapsed="false" customWidth="true" hidden="false" outlineLevel="0" max="5" min="5" style="1" width="15"/>
    <col collapsed="false" customWidth="true" hidden="false" outlineLevel="0" max="6" min="6" style="1" width="16"/>
    <col collapsed="false" customWidth="true" hidden="false" outlineLevel="0" max="7" min="7" style="1" width="9"/>
    <col collapsed="false" customWidth="true" hidden="false" outlineLevel="0" max="8" min="8" style="1" width="16"/>
    <col collapsed="false" customWidth="true" hidden="false" outlineLevel="0" max="9" min="9" style="1" width="38"/>
    <col collapsed="false" customWidth="true" hidden="false" outlineLevel="0" max="10" min="10" style="1" width="32"/>
  </cols>
  <sheetData>
    <row r="1" customFormat="false" ht="20.25" hidden="false" customHeight="true" outlineLevel="0" collapsed="false">
      <c r="A1" s="2" t="s">
        <v>189</v>
      </c>
      <c r="B1" s="2"/>
      <c r="C1" s="2"/>
      <c r="D1" s="2"/>
      <c r="E1" s="2"/>
      <c r="F1" s="2"/>
      <c r="G1" s="2"/>
      <c r="H1" s="2"/>
      <c r="I1" s="2"/>
      <c r="J1" s="2"/>
    </row>
    <row r="2" customFormat="false" ht="15" hidden="false" customHeight="true" outlineLevel="0" collapsed="false">
      <c r="A2" s="7" t="s">
        <v>190</v>
      </c>
      <c r="B2" s="7"/>
      <c r="C2" s="7"/>
      <c r="D2" s="7"/>
      <c r="E2" s="7"/>
      <c r="F2" s="7"/>
      <c r="G2" s="7"/>
      <c r="H2" s="7"/>
      <c r="I2" s="7"/>
      <c r="J2" s="7"/>
    </row>
    <row r="3" customFormat="false" ht="15" hidden="false" customHeight="true" outlineLevel="0" collapsed="false">
      <c r="A3" s="7"/>
      <c r="B3" s="7"/>
      <c r="C3" s="7"/>
      <c r="D3" s="7"/>
      <c r="E3" s="7"/>
      <c r="F3" s="7"/>
      <c r="G3" s="7"/>
      <c r="H3" s="7"/>
      <c r="I3" s="7"/>
      <c r="J3" s="7"/>
    </row>
    <row r="4" customFormat="false" ht="15" hidden="false" customHeight="true" outlineLevel="0" collapsed="false">
      <c r="A4" s="3"/>
      <c r="B4" s="3"/>
      <c r="C4" s="3"/>
      <c r="D4" s="3"/>
      <c r="E4" s="3"/>
      <c r="F4" s="3"/>
      <c r="G4" s="3"/>
      <c r="H4" s="3"/>
      <c r="I4" s="3"/>
      <c r="J4" s="3"/>
    </row>
    <row r="5" customFormat="false" ht="15" hidden="false" customHeight="true" outlineLevel="0" collapsed="false">
      <c r="A5" s="4" t="s">
        <v>72</v>
      </c>
      <c r="B5" s="4" t="s">
        <v>191</v>
      </c>
      <c r="C5" s="4" t="s">
        <v>155</v>
      </c>
      <c r="D5" s="4" t="s">
        <v>130</v>
      </c>
      <c r="E5" s="4" t="s">
        <v>80</v>
      </c>
      <c r="F5" s="4" t="s">
        <v>150</v>
      </c>
      <c r="G5" s="4" t="s">
        <v>151</v>
      </c>
      <c r="H5" s="4" t="s">
        <v>192</v>
      </c>
      <c r="I5" s="4" t="s">
        <v>193</v>
      </c>
      <c r="J5" s="4" t="s">
        <v>194</v>
      </c>
    </row>
    <row r="6" customFormat="false" ht="15" hidden="false" customHeight="true" outlineLevel="0" collapsed="false">
      <c r="A6" s="33" t="str">
        <f aca="false">IF('OWNER SCORECARD'!A6="","",'OWNER SCORECARD'!A6)</f>
        <v/>
      </c>
      <c r="B6" s="33" t="str">
        <f aca="false">IF('OWNER SCORECARD'!H6="","",'OWNER SCORECARD'!H6)</f>
        <v/>
      </c>
      <c r="C6" s="35" t="str">
        <f aca="false">IF('OWNER SCORECARD'!T6="","",'OWNER SCORECARD'!T6)</f>
        <v/>
      </c>
      <c r="D6" s="35" t="str">
        <f aca="false">IF('OWNER SCORECARD'!R6="","",'OWNER SCORECARD'!R6)</f>
        <v/>
      </c>
      <c r="E6" s="36" t="str">
        <f aca="false">IF('OWNER SCORECARD'!S6="","",'OWNER SCORECARD'!S6)</f>
        <v/>
      </c>
      <c r="F6" s="37" t="str">
        <f aca="false">IF('OWNER SCORECARD'!N6="","",'OWNER SCORECARD'!N6)</f>
        <v/>
      </c>
      <c r="G6" s="33" t="str">
        <f aca="false">IF('OWNER SCORECARD'!O6="","",'OWNER SCORECARD'!O6)</f>
        <v/>
      </c>
      <c r="H6" s="33" t="str">
        <f aca="false">IF('OWNER SCORECARD'!P6="","",'OWNER SCORECARD'!P6)</f>
        <v/>
      </c>
      <c r="I6" s="33" t="str">
        <f aca="false">IF('OWNER SCORECARD'!Q6="","",'OWNER SCORECARD'!Q6)</f>
        <v/>
      </c>
      <c r="J6" s="27"/>
    </row>
    <row r="7" customFormat="false" ht="15" hidden="false" customHeight="true" outlineLevel="0" collapsed="false">
      <c r="A7" s="33" t="str">
        <f aca="false">IF('OWNER SCORECARD'!A7="","",'OWNER SCORECARD'!A7)</f>
        <v/>
      </c>
      <c r="B7" s="33" t="str">
        <f aca="false">IF('OWNER SCORECARD'!H7="","",'OWNER SCORECARD'!H7)</f>
        <v/>
      </c>
      <c r="C7" s="35" t="str">
        <f aca="false">IF('OWNER SCORECARD'!T7="","",'OWNER SCORECARD'!T7)</f>
        <v/>
      </c>
      <c r="D7" s="35" t="str">
        <f aca="false">IF('OWNER SCORECARD'!R7="","",'OWNER SCORECARD'!R7)</f>
        <v/>
      </c>
      <c r="E7" s="36" t="str">
        <f aca="false">IF('OWNER SCORECARD'!S7="","",'OWNER SCORECARD'!S7)</f>
        <v/>
      </c>
      <c r="F7" s="37" t="str">
        <f aca="false">IF('OWNER SCORECARD'!N7="","",'OWNER SCORECARD'!N7)</f>
        <v/>
      </c>
      <c r="G7" s="33" t="str">
        <f aca="false">IF('OWNER SCORECARD'!O7="","",'OWNER SCORECARD'!O7)</f>
        <v/>
      </c>
      <c r="H7" s="33" t="str">
        <f aca="false">IF('OWNER SCORECARD'!P7="","",'OWNER SCORECARD'!P7)</f>
        <v/>
      </c>
      <c r="I7" s="33" t="str">
        <f aca="false">IF('OWNER SCORECARD'!Q7="","",'OWNER SCORECARD'!Q7)</f>
        <v/>
      </c>
      <c r="J7" s="27"/>
    </row>
    <row r="8" customFormat="false" ht="15" hidden="false" customHeight="true" outlineLevel="0" collapsed="false">
      <c r="A8" s="33" t="str">
        <f aca="false">IF('OWNER SCORECARD'!A8="","",'OWNER SCORECARD'!A8)</f>
        <v/>
      </c>
      <c r="B8" s="33" t="str">
        <f aca="false">IF('OWNER SCORECARD'!H8="","",'OWNER SCORECARD'!H8)</f>
        <v/>
      </c>
      <c r="C8" s="35" t="str">
        <f aca="false">IF('OWNER SCORECARD'!T8="","",'OWNER SCORECARD'!T8)</f>
        <v/>
      </c>
      <c r="D8" s="35" t="str">
        <f aca="false">IF('OWNER SCORECARD'!R8="","",'OWNER SCORECARD'!R8)</f>
        <v/>
      </c>
      <c r="E8" s="36" t="str">
        <f aca="false">IF('OWNER SCORECARD'!S8="","",'OWNER SCORECARD'!S8)</f>
        <v/>
      </c>
      <c r="F8" s="37" t="str">
        <f aca="false">IF('OWNER SCORECARD'!N8="","",'OWNER SCORECARD'!N8)</f>
        <v/>
      </c>
      <c r="G8" s="33" t="str">
        <f aca="false">IF('OWNER SCORECARD'!O8="","",'OWNER SCORECARD'!O8)</f>
        <v/>
      </c>
      <c r="H8" s="33" t="str">
        <f aca="false">IF('OWNER SCORECARD'!P8="","",'OWNER SCORECARD'!P8)</f>
        <v/>
      </c>
      <c r="I8" s="33" t="str">
        <f aca="false">IF('OWNER SCORECARD'!Q8="","",'OWNER SCORECARD'!Q8)</f>
        <v/>
      </c>
      <c r="J8" s="27"/>
    </row>
    <row r="9" customFormat="false" ht="15" hidden="false" customHeight="true" outlineLevel="0" collapsed="false">
      <c r="A9" s="33" t="str">
        <f aca="false">IF('OWNER SCORECARD'!A9="","",'OWNER SCORECARD'!A9)</f>
        <v/>
      </c>
      <c r="B9" s="33" t="str">
        <f aca="false">IF('OWNER SCORECARD'!H9="","",'OWNER SCORECARD'!H9)</f>
        <v/>
      </c>
      <c r="C9" s="35" t="str">
        <f aca="false">IF('OWNER SCORECARD'!T9="","",'OWNER SCORECARD'!T9)</f>
        <v/>
      </c>
      <c r="D9" s="35" t="str">
        <f aca="false">IF('OWNER SCORECARD'!R9="","",'OWNER SCORECARD'!R9)</f>
        <v/>
      </c>
      <c r="E9" s="36" t="str">
        <f aca="false">IF('OWNER SCORECARD'!S9="","",'OWNER SCORECARD'!S9)</f>
        <v/>
      </c>
      <c r="F9" s="37" t="str">
        <f aca="false">IF('OWNER SCORECARD'!N9="","",'OWNER SCORECARD'!N9)</f>
        <v/>
      </c>
      <c r="G9" s="33" t="str">
        <f aca="false">IF('OWNER SCORECARD'!O9="","",'OWNER SCORECARD'!O9)</f>
        <v/>
      </c>
      <c r="H9" s="33" t="str">
        <f aca="false">IF('OWNER SCORECARD'!P9="","",'OWNER SCORECARD'!P9)</f>
        <v/>
      </c>
      <c r="I9" s="33" t="str">
        <f aca="false">IF('OWNER SCORECARD'!Q9="","",'OWNER SCORECARD'!Q9)</f>
        <v/>
      </c>
      <c r="J9" s="27"/>
    </row>
    <row r="10" customFormat="false" ht="15" hidden="false" customHeight="true" outlineLevel="0" collapsed="false">
      <c r="A10" s="33" t="str">
        <f aca="false">IF('OWNER SCORECARD'!A10="","",'OWNER SCORECARD'!A10)</f>
        <v/>
      </c>
      <c r="B10" s="33" t="str">
        <f aca="false">IF('OWNER SCORECARD'!H10="","",'OWNER SCORECARD'!H10)</f>
        <v/>
      </c>
      <c r="C10" s="35" t="str">
        <f aca="false">IF('OWNER SCORECARD'!T10="","",'OWNER SCORECARD'!T10)</f>
        <v/>
      </c>
      <c r="D10" s="35" t="str">
        <f aca="false">IF('OWNER SCORECARD'!R10="","",'OWNER SCORECARD'!R10)</f>
        <v/>
      </c>
      <c r="E10" s="36" t="str">
        <f aca="false">IF('OWNER SCORECARD'!S10="","",'OWNER SCORECARD'!S10)</f>
        <v/>
      </c>
      <c r="F10" s="37" t="str">
        <f aca="false">IF('OWNER SCORECARD'!N10="","",'OWNER SCORECARD'!N10)</f>
        <v/>
      </c>
      <c r="G10" s="33" t="str">
        <f aca="false">IF('OWNER SCORECARD'!O10="","",'OWNER SCORECARD'!O10)</f>
        <v/>
      </c>
      <c r="H10" s="33" t="str">
        <f aca="false">IF('OWNER SCORECARD'!P10="","",'OWNER SCORECARD'!P10)</f>
        <v/>
      </c>
      <c r="I10" s="33" t="str">
        <f aca="false">IF('OWNER SCORECARD'!Q10="","",'OWNER SCORECARD'!Q10)</f>
        <v/>
      </c>
      <c r="J10" s="27"/>
    </row>
    <row r="11" customFormat="false" ht="15" hidden="false" customHeight="true" outlineLevel="0" collapsed="false">
      <c r="A11" s="3"/>
      <c r="B11" s="3"/>
      <c r="C11" s="3"/>
      <c r="D11" s="3"/>
      <c r="E11" s="3"/>
      <c r="F11" s="3"/>
      <c r="G11" s="3"/>
      <c r="H11" s="3"/>
      <c r="I11" s="3"/>
      <c r="J11" s="3"/>
    </row>
    <row r="12" customFormat="false" ht="15" hidden="false" customHeight="true" outlineLevel="0" collapsed="false">
      <c r="A12" s="3"/>
      <c r="B12" s="3"/>
      <c r="C12" s="3"/>
      <c r="D12" s="3"/>
      <c r="E12" s="3"/>
      <c r="F12" s="3"/>
      <c r="G12" s="3"/>
      <c r="H12" s="3"/>
      <c r="I12" s="3"/>
      <c r="J12" s="3"/>
    </row>
  </sheetData>
  <mergeCells count="2">
    <mergeCell ref="A1:J1"/>
    <mergeCell ref="A2:J3"/>
  </mergeCells>
  <conditionalFormatting sqref="B6:B10">
    <cfRule type="expression" priority="2" aboveAverage="0" equalAverage="0" bottom="0" percent="0" rank="0" text="" dxfId="1">
      <formula>B6="READY"</formula>
    </cfRule>
    <cfRule type="expression" priority="3" aboveAverage="0" equalAverage="0" bottom="0" percent="0" rank="0" text="" dxfId="2">
      <formula>B6="PAUSE"</formula>
    </cfRule>
  </conditionalFormatting>
  <conditionalFormatting sqref="D6:D10">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3"/>
    <col collapsed="false" customWidth="true" hidden="false" outlineLevel="0" max="3" min="3" style="1" width="20"/>
    <col collapsed="false" customWidth="true" hidden="false" outlineLevel="0" max="4" min="4" style="1" width="18"/>
    <col collapsed="false" customWidth="true" hidden="false" outlineLevel="0" max="5" min="5" style="1" width="17"/>
    <col collapsed="false" customWidth="true" hidden="false" outlineLevel="0" max="6" min="6" style="1" width="25"/>
    <col collapsed="false" customWidth="true" hidden="false" outlineLevel="0" max="7" min="7" style="1" width="27"/>
    <col collapsed="false" customWidth="true" hidden="false" outlineLevel="0" max="8" min="8" style="1" width="20"/>
    <col collapsed="false" customWidth="true" hidden="false" outlineLevel="0" max="10" min="9" style="1" width="17"/>
    <col collapsed="false" customWidth="true" hidden="false" outlineLevel="0" max="11" min="11" style="1" width="13"/>
    <col collapsed="false" customWidth="true" hidden="false" outlineLevel="0" max="12" min="12" style="1" width="17"/>
    <col collapsed="false" customWidth="true" hidden="false" outlineLevel="0" max="13" min="13" style="1" width="30"/>
    <col collapsed="false" customWidth="true" hidden="false" outlineLevel="0" max="14" min="14" style="1" width="34"/>
    <col collapsed="false" customWidth="true" hidden="false" outlineLevel="0" max="15" min="15" style="1" width="24"/>
    <col collapsed="false" customWidth="true" hidden="false" outlineLevel="0" max="16" min="16" style="1" width="38"/>
  </cols>
  <sheetData>
    <row r="1" customFormat="false" ht="20.25" hidden="false" customHeight="true" outlineLevel="0" collapsed="false">
      <c r="A1" s="2" t="s">
        <v>195</v>
      </c>
      <c r="B1" s="2"/>
      <c r="C1" s="2"/>
      <c r="D1" s="2"/>
      <c r="E1" s="2"/>
      <c r="F1" s="2"/>
      <c r="G1" s="2"/>
      <c r="H1" s="2"/>
      <c r="I1" s="2"/>
      <c r="J1" s="2"/>
      <c r="K1" s="2"/>
      <c r="L1" s="2"/>
      <c r="M1" s="2"/>
      <c r="N1" s="2"/>
      <c r="O1" s="2"/>
      <c r="P1" s="2"/>
    </row>
    <row r="2" customFormat="false" ht="15" hidden="false" customHeight="true" outlineLevel="0" collapsed="false">
      <c r="A2" s="7" t="s">
        <v>196</v>
      </c>
      <c r="B2" s="7"/>
      <c r="C2" s="7"/>
      <c r="D2" s="7"/>
      <c r="E2" s="7"/>
      <c r="F2" s="7"/>
      <c r="G2" s="7"/>
      <c r="H2" s="7"/>
      <c r="I2" s="7"/>
      <c r="J2" s="7"/>
      <c r="K2" s="7"/>
      <c r="L2" s="7"/>
      <c r="M2" s="7"/>
      <c r="N2" s="7"/>
      <c r="O2" s="7"/>
      <c r="P2" s="7"/>
    </row>
    <row r="3" customFormat="false" ht="15" hidden="false" customHeight="true" outlineLevel="0" collapsed="false">
      <c r="A3" s="7"/>
      <c r="B3" s="7"/>
      <c r="C3" s="7"/>
      <c r="D3" s="7"/>
      <c r="E3" s="7"/>
      <c r="F3" s="7"/>
      <c r="G3" s="7"/>
      <c r="H3" s="7"/>
      <c r="I3" s="7"/>
      <c r="J3" s="7"/>
      <c r="K3" s="7"/>
      <c r="L3" s="7"/>
      <c r="M3" s="7"/>
      <c r="N3" s="7"/>
      <c r="O3" s="7"/>
      <c r="P3" s="7"/>
    </row>
    <row r="4" customFormat="false" ht="15" hidden="false" customHeight="true" outlineLevel="0" collapsed="false">
      <c r="A4" s="3"/>
      <c r="B4" s="3"/>
      <c r="C4" s="3"/>
      <c r="D4" s="3"/>
      <c r="E4" s="3"/>
      <c r="F4" s="3"/>
      <c r="G4" s="3"/>
      <c r="H4" s="3"/>
      <c r="I4" s="3"/>
      <c r="J4" s="3"/>
      <c r="K4" s="3"/>
      <c r="L4" s="3"/>
      <c r="M4" s="3"/>
      <c r="N4" s="3"/>
      <c r="O4" s="3"/>
      <c r="P4" s="3"/>
    </row>
    <row r="5" customFormat="false" ht="27.75" hidden="false" customHeight="true" outlineLevel="0" collapsed="false">
      <c r="A5" s="4" t="s">
        <v>72</v>
      </c>
      <c r="B5" s="4" t="s">
        <v>197</v>
      </c>
      <c r="C5" s="4" t="s">
        <v>198</v>
      </c>
      <c r="D5" s="4" t="s">
        <v>199</v>
      </c>
      <c r="E5" s="4" t="s">
        <v>200</v>
      </c>
      <c r="F5" s="4" t="s">
        <v>201</v>
      </c>
      <c r="G5" s="4" t="s">
        <v>202</v>
      </c>
      <c r="H5" s="4" t="s">
        <v>203</v>
      </c>
      <c r="I5" s="4" t="s">
        <v>204</v>
      </c>
      <c r="J5" s="4" t="s">
        <v>205</v>
      </c>
      <c r="K5" s="4" t="s">
        <v>206</v>
      </c>
      <c r="L5" s="4" t="s">
        <v>207</v>
      </c>
      <c r="M5" s="4" t="s">
        <v>208</v>
      </c>
      <c r="N5" s="4" t="s">
        <v>209</v>
      </c>
      <c r="O5" s="4" t="s">
        <v>210</v>
      </c>
      <c r="P5" s="4" t="s">
        <v>211</v>
      </c>
    </row>
    <row r="6" customFormat="false" ht="15" hidden="false" customHeight="true" outlineLevel="0" collapsed="false">
      <c r="A6" s="27"/>
      <c r="B6" s="38"/>
      <c r="C6" s="28"/>
      <c r="D6" s="28"/>
      <c r="E6" s="29" t="str">
        <f aca="false">IF(OR(C6="",D6=""),"",D6-C6)</f>
        <v/>
      </c>
      <c r="F6" s="28"/>
      <c r="G6" s="28"/>
      <c r="H6" s="29" t="str">
        <f aca="false">IF(OR(F6="",G6=""),"",G6-F6)</f>
        <v/>
      </c>
      <c r="I6" s="38"/>
      <c r="J6" s="38"/>
      <c r="K6" s="32" t="str">
        <f aca="false">IF(OR(I6="",J6=""),"",J6-I6)</f>
        <v/>
      </c>
      <c r="L6" s="27"/>
      <c r="M6" s="27"/>
      <c r="N6" s="27"/>
      <c r="O6" s="27"/>
      <c r="P6" s="27"/>
    </row>
    <row r="7" customFormat="false" ht="15" hidden="false" customHeight="true" outlineLevel="0" collapsed="false">
      <c r="A7" s="27"/>
      <c r="B7" s="38"/>
      <c r="C7" s="28"/>
      <c r="D7" s="28"/>
      <c r="E7" s="29" t="str">
        <f aca="false">IF(OR(C7="",D7=""),"",D7-C7)</f>
        <v/>
      </c>
      <c r="F7" s="28"/>
      <c r="G7" s="28"/>
      <c r="H7" s="29" t="str">
        <f aca="false">IF(OR(F7="",G7=""),"",G7-F7)</f>
        <v/>
      </c>
      <c r="I7" s="38"/>
      <c r="J7" s="38"/>
      <c r="K7" s="32" t="str">
        <f aca="false">IF(OR(I7="",J7=""),"",J7-I7)</f>
        <v/>
      </c>
      <c r="L7" s="27"/>
      <c r="M7" s="27"/>
      <c r="N7" s="27"/>
      <c r="O7" s="27"/>
      <c r="P7" s="27"/>
    </row>
    <row r="8" customFormat="false" ht="15" hidden="false" customHeight="true" outlineLevel="0" collapsed="false">
      <c r="A8" s="27"/>
      <c r="B8" s="38"/>
      <c r="C8" s="28"/>
      <c r="D8" s="28"/>
      <c r="E8" s="29" t="str">
        <f aca="false">IF(OR(C8="",D8=""),"",D8-C8)</f>
        <v/>
      </c>
      <c r="F8" s="28"/>
      <c r="G8" s="28"/>
      <c r="H8" s="29" t="str">
        <f aca="false">IF(OR(F8="",G8=""),"",G8-F8)</f>
        <v/>
      </c>
      <c r="I8" s="38"/>
      <c r="J8" s="38"/>
      <c r="K8" s="32" t="str">
        <f aca="false">IF(OR(I8="",J8=""),"",J8-I8)</f>
        <v/>
      </c>
      <c r="L8" s="27"/>
      <c r="M8" s="27"/>
      <c r="N8" s="27"/>
      <c r="O8" s="27"/>
      <c r="P8" s="27"/>
    </row>
    <row r="9" customFormat="false" ht="15" hidden="false" customHeight="true" outlineLevel="0" collapsed="false">
      <c r="A9" s="27"/>
      <c r="B9" s="38"/>
      <c r="C9" s="28"/>
      <c r="D9" s="28"/>
      <c r="E9" s="29" t="str">
        <f aca="false">IF(OR(C9="",D9=""),"",D9-C9)</f>
        <v/>
      </c>
      <c r="F9" s="28"/>
      <c r="G9" s="28"/>
      <c r="H9" s="29" t="str">
        <f aca="false">IF(OR(F9="",G9=""),"",G9-F9)</f>
        <v/>
      </c>
      <c r="I9" s="38"/>
      <c r="J9" s="38"/>
      <c r="K9" s="32" t="str">
        <f aca="false">IF(OR(I9="",J9=""),"",J9-I9)</f>
        <v/>
      </c>
      <c r="L9" s="27"/>
      <c r="M9" s="27"/>
      <c r="N9" s="27"/>
      <c r="O9" s="27"/>
      <c r="P9" s="27"/>
    </row>
    <row r="10" customFormat="false" ht="15" hidden="false" customHeight="true" outlineLevel="0" collapsed="false">
      <c r="A10" s="27"/>
      <c r="B10" s="38"/>
      <c r="C10" s="28"/>
      <c r="D10" s="28"/>
      <c r="E10" s="29" t="str">
        <f aca="false">IF(OR(C10="",D10=""),"",D10-C10)</f>
        <v/>
      </c>
      <c r="F10" s="28"/>
      <c r="G10" s="28"/>
      <c r="H10" s="29" t="str">
        <f aca="false">IF(OR(F10="",G10=""),"",G10-F10)</f>
        <v/>
      </c>
      <c r="I10" s="38"/>
      <c r="J10" s="38"/>
      <c r="K10" s="32" t="str">
        <f aca="false">IF(OR(I10="",J10=""),"",J10-I10)</f>
        <v/>
      </c>
      <c r="L10" s="27"/>
      <c r="M10" s="27"/>
      <c r="N10" s="27"/>
      <c r="O10" s="27"/>
      <c r="P10" s="27"/>
    </row>
    <row r="11" customFormat="false" ht="15" hidden="false" customHeight="true" outlineLevel="0" collapsed="false">
      <c r="A11" s="3"/>
      <c r="B11" s="3"/>
      <c r="C11" s="3"/>
      <c r="D11" s="3"/>
      <c r="E11" s="3"/>
      <c r="F11" s="3"/>
      <c r="G11" s="3"/>
      <c r="H11" s="3"/>
      <c r="I11" s="3"/>
      <c r="J11" s="3"/>
      <c r="K11" s="3"/>
      <c r="L11" s="3"/>
      <c r="M11" s="3"/>
      <c r="N11" s="3"/>
      <c r="O11" s="3"/>
      <c r="P11" s="3"/>
    </row>
    <row r="12" customFormat="false" ht="15" hidden="false" customHeight="true" outlineLevel="0" collapsed="false">
      <c r="A12" s="3"/>
      <c r="B12" s="3"/>
      <c r="C12" s="3"/>
      <c r="D12" s="3"/>
      <c r="E12" s="3"/>
      <c r="F12" s="3"/>
      <c r="G12" s="3"/>
      <c r="H12" s="3"/>
      <c r="I12" s="3"/>
      <c r="J12" s="3"/>
      <c r="K12" s="3"/>
      <c r="L12" s="3"/>
      <c r="M12" s="3"/>
      <c r="N12" s="3"/>
      <c r="O12" s="3"/>
      <c r="P12" s="3"/>
    </row>
  </sheetData>
  <mergeCells count="2">
    <mergeCell ref="A1:P1"/>
    <mergeCell ref="A2:P3"/>
  </mergeCells>
  <dataValidations count="2">
    <dataValidation allowBlank="false" errorStyle="stop" operator="between" showDropDown="false" showErrorMessage="false" showInputMessage="false" sqref="L6:L10" type="list">
      <formula1>"1,2,3,4,5"</formula1>
      <formula2>0</formula2>
    </dataValidation>
    <dataValidation allowBlank="false" errorStyle="stop" operator="between" showDropDown="false" showErrorMessage="false" showInputMessage="false" sqref="O6:O10" type="list">
      <formula1>"Yes,No,Maybe"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28"/>
    <col collapsed="false" customWidth="true" hidden="false" outlineLevel="0" max="3" min="3" style="1" width="44"/>
    <col collapsed="false" customWidth="true" hidden="false" outlineLevel="0" max="4" min="4" style="1" width="15"/>
  </cols>
  <sheetData>
    <row r="1" customFormat="false" ht="20.25" hidden="false" customHeight="true" outlineLevel="0" collapsed="false">
      <c r="A1" s="2" t="s">
        <v>212</v>
      </c>
      <c r="B1" s="2"/>
      <c r="C1" s="2"/>
      <c r="D1" s="2"/>
    </row>
    <row r="2" customFormat="false" ht="15" hidden="false" customHeight="true" outlineLevel="0" collapsed="false">
      <c r="A2" s="7" t="s">
        <v>213</v>
      </c>
      <c r="B2" s="7"/>
      <c r="C2" s="7"/>
      <c r="D2" s="7"/>
    </row>
    <row r="3" customFormat="false" ht="15" hidden="false" customHeight="true" outlineLevel="0" collapsed="false">
      <c r="A3" s="7"/>
      <c r="B3" s="7"/>
      <c r="C3" s="7"/>
      <c r="D3" s="7"/>
    </row>
    <row r="4" customFormat="false" ht="15" hidden="false" customHeight="true" outlineLevel="0" collapsed="false">
      <c r="A4" s="3"/>
      <c r="B4" s="3"/>
      <c r="C4" s="3"/>
      <c r="D4" s="3"/>
    </row>
    <row r="5" customFormat="false" ht="15" hidden="false" customHeight="true" outlineLevel="0" collapsed="false">
      <c r="A5" s="9" t="s">
        <v>214</v>
      </c>
      <c r="B5" s="27"/>
      <c r="C5" s="3"/>
      <c r="D5" s="3"/>
    </row>
    <row r="6" customFormat="false" ht="15" hidden="false" customHeight="true" outlineLevel="0" collapsed="false">
      <c r="A6" s="9" t="s">
        <v>215</v>
      </c>
      <c r="B6" s="27"/>
      <c r="C6" s="3"/>
      <c r="D6" s="3"/>
    </row>
    <row r="7" customFormat="false" ht="15" hidden="false" customHeight="true" outlineLevel="0" collapsed="false">
      <c r="A7" s="9" t="s">
        <v>216</v>
      </c>
      <c r="B7" s="27"/>
      <c r="C7" s="3"/>
      <c r="D7" s="3"/>
    </row>
    <row r="8" customFormat="false" ht="15" hidden="false" customHeight="true" outlineLevel="0" collapsed="false">
      <c r="A8" s="9" t="s">
        <v>217</v>
      </c>
      <c r="B8" s="38"/>
      <c r="C8" s="3"/>
      <c r="D8" s="3"/>
    </row>
    <row r="9" customFormat="false" ht="15" hidden="false" customHeight="true" outlineLevel="0" collapsed="false">
      <c r="A9" s="9" t="s">
        <v>218</v>
      </c>
      <c r="B9" s="27"/>
      <c r="C9" s="3"/>
      <c r="D9" s="3"/>
    </row>
    <row r="10" customFormat="false" ht="15" hidden="false" customHeight="true" outlineLevel="0" collapsed="false">
      <c r="A10" s="9" t="s">
        <v>219</v>
      </c>
      <c r="B10" s="27"/>
      <c r="C10" s="3"/>
      <c r="D10" s="3"/>
    </row>
    <row r="11" customFormat="false" ht="15" hidden="false" customHeight="true" outlineLevel="0" collapsed="false">
      <c r="A11" s="3"/>
      <c r="B11" s="3"/>
      <c r="C11" s="3"/>
      <c r="D11" s="3"/>
    </row>
    <row r="12" customFormat="false" ht="15" hidden="false" customHeight="true" outlineLevel="0" collapsed="false">
      <c r="A12" s="4" t="s">
        <v>220</v>
      </c>
      <c r="B12" s="4" t="s">
        <v>221</v>
      </c>
      <c r="C12" s="4" t="s">
        <v>222</v>
      </c>
      <c r="D12" s="3"/>
    </row>
    <row r="13" customFormat="false" ht="15" hidden="false" customHeight="true" outlineLevel="0" collapsed="false">
      <c r="A13" s="3" t="s">
        <v>223</v>
      </c>
      <c r="B13" s="27"/>
      <c r="C13" s="27"/>
      <c r="D13" s="3"/>
    </row>
    <row r="14" customFormat="false" ht="15" hidden="false" customHeight="true" outlineLevel="0" collapsed="false">
      <c r="A14" s="3" t="s">
        <v>224</v>
      </c>
      <c r="B14" s="27"/>
      <c r="C14" s="27"/>
      <c r="D14" s="3"/>
    </row>
    <row r="15" customFormat="false" ht="15" hidden="false" customHeight="true" outlineLevel="0" collapsed="false">
      <c r="A15" s="3" t="s">
        <v>225</v>
      </c>
      <c r="B15" s="27"/>
      <c r="C15" s="27"/>
      <c r="D15" s="3"/>
    </row>
    <row r="16" customFormat="false" ht="27.75" hidden="false" customHeight="true" outlineLevel="0" collapsed="false">
      <c r="A16" s="3" t="s">
        <v>226</v>
      </c>
      <c r="B16" s="27"/>
      <c r="C16" s="27"/>
      <c r="D16" s="3"/>
    </row>
    <row r="17" customFormat="false" ht="15" hidden="false" customHeight="true" outlineLevel="0" collapsed="false">
      <c r="A17" s="3" t="s">
        <v>227</v>
      </c>
      <c r="B17" s="27"/>
      <c r="C17" s="27"/>
      <c r="D17" s="3"/>
    </row>
    <row r="18" customFormat="false" ht="15" hidden="false" customHeight="true" outlineLevel="0" collapsed="false">
      <c r="A18" s="3" t="s">
        <v>228</v>
      </c>
      <c r="B18" s="27"/>
      <c r="C18" s="27"/>
      <c r="D18" s="3"/>
    </row>
    <row r="19" customFormat="false" ht="15" hidden="false" customHeight="true" outlineLevel="0" collapsed="false">
      <c r="A19" s="3" t="s">
        <v>229</v>
      </c>
      <c r="B19" s="27"/>
      <c r="C19" s="27"/>
      <c r="D19" s="3"/>
    </row>
    <row r="20" customFormat="false" ht="15" hidden="false" customHeight="true" outlineLevel="0" collapsed="false">
      <c r="A20" s="3" t="s">
        <v>230</v>
      </c>
      <c r="B20" s="27"/>
      <c r="C20" s="27"/>
      <c r="D20" s="3"/>
    </row>
    <row r="21" customFormat="false" ht="15" hidden="false" customHeight="true" outlineLevel="0" collapsed="false">
      <c r="A21" s="3"/>
      <c r="B21" s="3"/>
      <c r="C21" s="3"/>
      <c r="D21" s="3"/>
    </row>
    <row r="22" customFormat="false" ht="15" hidden="false" customHeight="true" outlineLevel="0" collapsed="false">
      <c r="A22" s="4" t="s">
        <v>231</v>
      </c>
      <c r="B22" s="4" t="s">
        <v>232</v>
      </c>
      <c r="C22" s="3"/>
      <c r="D22" s="3"/>
    </row>
    <row r="23" customFormat="false" ht="15" hidden="false" customHeight="true" outlineLevel="0" collapsed="false">
      <c r="A23" s="3" t="s">
        <v>233</v>
      </c>
      <c r="B23" s="27"/>
      <c r="C23" s="3"/>
      <c r="D23" s="3"/>
    </row>
    <row r="24" customFormat="false" ht="15" hidden="false" customHeight="true" outlineLevel="0" collapsed="false">
      <c r="A24" s="3" t="s">
        <v>234</v>
      </c>
      <c r="B24" s="27"/>
      <c r="C24" s="3"/>
      <c r="D24" s="3"/>
    </row>
    <row r="25" customFormat="false" ht="15" hidden="false" customHeight="true" outlineLevel="0" collapsed="false">
      <c r="A25" s="3" t="s">
        <v>235</v>
      </c>
      <c r="B25" s="27"/>
      <c r="C25" s="3"/>
      <c r="D25" s="3"/>
    </row>
    <row r="26" customFormat="false" ht="15" hidden="false" customHeight="true" outlineLevel="0" collapsed="false">
      <c r="A26" s="3" t="s">
        <v>236</v>
      </c>
      <c r="B26" s="27"/>
      <c r="C26" s="3"/>
      <c r="D26" s="3"/>
    </row>
    <row r="27" customFormat="false" ht="15" hidden="false" customHeight="true" outlineLevel="0" collapsed="false">
      <c r="A27" s="3" t="s">
        <v>237</v>
      </c>
      <c r="B27" s="27"/>
      <c r="C27" s="3"/>
      <c r="D27" s="3"/>
    </row>
    <row r="28" customFormat="false" ht="15" hidden="false" customHeight="true" outlineLevel="0" collapsed="false">
      <c r="A28" s="3"/>
      <c r="B28" s="3"/>
      <c r="C28" s="3"/>
      <c r="D28" s="3"/>
    </row>
    <row r="29" customFormat="false" ht="15" hidden="false" customHeight="true" outlineLevel="0" collapsed="false">
      <c r="A29" s="3"/>
      <c r="B29" s="3"/>
      <c r="C29" s="3"/>
      <c r="D29" s="3"/>
    </row>
  </sheetData>
  <mergeCells count="2">
    <mergeCell ref="A1:D1"/>
    <mergeCell ref="A2:D3"/>
  </mergeCells>
  <dataValidations count="1">
    <dataValidation allowBlank="false" errorStyle="stop" operator="between" showDropDown="false" showErrorMessage="false" showInputMessage="false" sqref="B13:B20"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6"/>
    <col collapsed="false" customWidth="true" hidden="false" outlineLevel="0" max="7" min="4" style="1" width="13"/>
    <col collapsed="false" customWidth="true" hidden="false" outlineLevel="0" max="8" min="8" style="1" width="16"/>
    <col collapsed="false" customWidth="true" hidden="false" outlineLevel="0" max="9" min="9" style="1" width="12"/>
    <col collapsed="false" customWidth="true" hidden="false" outlineLevel="0" max="10" min="10" style="1" width="10"/>
    <col collapsed="false" customWidth="true" hidden="false" outlineLevel="0" max="11" min="11" style="1" width="11"/>
    <col collapsed="false" customWidth="true" hidden="false" outlineLevel="0" max="14" min="12" style="1" width="10"/>
    <col collapsed="false" customWidth="true" hidden="false" outlineLevel="0" max="15" min="15" style="1" width="15"/>
  </cols>
  <sheetData>
    <row r="1" customFormat="false" ht="20.25" hidden="false" customHeight="true" outlineLevel="0" collapsed="false">
      <c r="A1" s="2" t="s">
        <v>238</v>
      </c>
      <c r="B1" s="2"/>
      <c r="C1" s="2"/>
      <c r="D1" s="2"/>
      <c r="E1" s="2"/>
      <c r="F1" s="2"/>
      <c r="G1" s="2"/>
      <c r="H1" s="2"/>
      <c r="I1" s="2"/>
      <c r="J1" s="2"/>
      <c r="K1" s="2"/>
      <c r="L1" s="2"/>
      <c r="M1" s="2"/>
      <c r="N1" s="2"/>
      <c r="O1" s="2"/>
    </row>
    <row r="2" customFormat="false" ht="15" hidden="false" customHeight="true" outlineLevel="0" collapsed="false">
      <c r="A2" s="7" t="s">
        <v>239</v>
      </c>
      <c r="B2" s="7"/>
      <c r="C2" s="7"/>
      <c r="D2" s="7"/>
      <c r="E2" s="7"/>
      <c r="F2" s="7"/>
      <c r="G2" s="7"/>
      <c r="H2" s="7"/>
      <c r="I2" s="7"/>
      <c r="J2" s="7"/>
      <c r="K2" s="7"/>
      <c r="L2" s="7"/>
      <c r="M2" s="7"/>
      <c r="N2" s="7"/>
      <c r="O2" s="7"/>
    </row>
    <row r="3" customFormat="false" ht="15" hidden="false" customHeight="true" outlineLevel="0" collapsed="false">
      <c r="A3" s="7"/>
      <c r="B3" s="7"/>
      <c r="C3" s="7"/>
      <c r="D3" s="7"/>
      <c r="E3" s="7"/>
      <c r="F3" s="7"/>
      <c r="G3" s="7"/>
      <c r="H3" s="7"/>
      <c r="I3" s="7"/>
      <c r="J3" s="7"/>
      <c r="K3" s="7"/>
      <c r="L3" s="7"/>
      <c r="M3" s="7"/>
      <c r="N3" s="7"/>
      <c r="O3" s="7"/>
    </row>
    <row r="4" customFormat="false" ht="15" hidden="false" customHeight="true" outlineLevel="0" collapsed="false">
      <c r="A4" s="3"/>
      <c r="B4" s="3"/>
      <c r="C4" s="3"/>
      <c r="D4" s="3"/>
      <c r="E4" s="3"/>
      <c r="F4" s="3"/>
      <c r="G4" s="3"/>
      <c r="H4" s="3"/>
      <c r="I4" s="3"/>
      <c r="J4" s="3"/>
      <c r="K4" s="3"/>
      <c r="L4" s="3"/>
      <c r="M4" s="3"/>
      <c r="N4" s="3"/>
      <c r="O4" s="3"/>
    </row>
    <row r="5" customFormat="false" ht="15" hidden="false" customHeight="true" outlineLevel="0" collapsed="false">
      <c r="A5" s="4" t="s">
        <v>72</v>
      </c>
      <c r="B5" s="4" t="s">
        <v>240</v>
      </c>
      <c r="C5" s="4" t="s">
        <v>241</v>
      </c>
      <c r="D5" s="4" t="s">
        <v>75</v>
      </c>
      <c r="E5" s="4" t="s">
        <v>76</v>
      </c>
      <c r="F5" s="4" t="s">
        <v>77</v>
      </c>
      <c r="G5" s="4" t="s">
        <v>78</v>
      </c>
      <c r="H5" s="4" t="s">
        <v>242</v>
      </c>
      <c r="I5" s="4" t="s">
        <v>243</v>
      </c>
      <c r="J5" s="4" t="s">
        <v>244</v>
      </c>
      <c r="K5" s="4" t="s">
        <v>245</v>
      </c>
      <c r="L5" s="4" t="s">
        <v>246</v>
      </c>
      <c r="M5" s="4" t="s">
        <v>247</v>
      </c>
      <c r="N5" s="4" t="s">
        <v>248</v>
      </c>
      <c r="O5" s="4" t="s">
        <v>150</v>
      </c>
    </row>
    <row r="6" customFormat="false" ht="15" hidden="false" customHeight="true" outlineLevel="0" collapsed="false">
      <c r="A6" s="3" t="s">
        <v>249</v>
      </c>
      <c r="B6" s="39" t="n">
        <v>18000</v>
      </c>
      <c r="C6" s="39" t="n">
        <v>7000</v>
      </c>
      <c r="D6" s="39" t="n">
        <v>8000</v>
      </c>
      <c r="E6" s="39" t="n">
        <v>8500</v>
      </c>
      <c r="F6" s="39" t="n">
        <v>8500</v>
      </c>
      <c r="G6" s="39" t="n">
        <v>8500</v>
      </c>
      <c r="H6" s="39" t="n">
        <f aca="false">-B6+C6/(1+'OWNER SETTINGS'!$B$4)^1+D6/(1+'OWNER SETTINGS'!$B$4)^2+E6/(1+'OWNER SETTINGS'!$B$4)^3+F6/(1+'OWNER SETTINGS'!$B$4)^4+G6/(1+'OWNER SETTINGS'!$B$4)^5</f>
        <v>12444.8280358396</v>
      </c>
      <c r="I6" s="40" t="n">
        <f aca="false">B6/AVERAGE(C6:G6)</f>
        <v>2.22222222222222</v>
      </c>
      <c r="J6" s="3" t="n">
        <v>4</v>
      </c>
      <c r="K6" s="3" t="n">
        <v>3</v>
      </c>
      <c r="L6" s="3" t="n">
        <v>4</v>
      </c>
      <c r="M6" s="3" t="n">
        <v>3</v>
      </c>
      <c r="N6" s="3" t="n">
        <v>4</v>
      </c>
      <c r="O6" s="41" t="n">
        <f aca="false">J6*'OWNER SETTINGS'!$B$5+K6*'OWNER SETTINGS'!$B$6+L6*'OWNER SETTINGS'!$B$7+M6*'OWNER SETTINGS'!$B$8+N6*'OWNER SETTINGS'!$B$9</f>
        <v>3.65</v>
      </c>
    </row>
    <row r="7" customFormat="false" ht="27.75" hidden="false" customHeight="true" outlineLevel="0" collapsed="false">
      <c r="A7" s="3" t="s">
        <v>250</v>
      </c>
      <c r="B7" s="39" t="n">
        <v>10000</v>
      </c>
      <c r="C7" s="39" t="n">
        <v>4500</v>
      </c>
      <c r="D7" s="39" t="n">
        <v>5500</v>
      </c>
      <c r="E7" s="39" t="n">
        <v>6500</v>
      </c>
      <c r="F7" s="39" t="n">
        <v>7000</v>
      </c>
      <c r="G7" s="39" t="n">
        <v>7000</v>
      </c>
      <c r="H7" s="39" t="n">
        <f aca="false">-B7+C7/(1+'OWNER SETTINGS'!$B$4)^1+D7/(1+'OWNER SETTINGS'!$B$4)^2+E7/(1+'OWNER SETTINGS'!$B$4)^3+F7/(1+'OWNER SETTINGS'!$B$4)^4+G7/(1+'OWNER SETTINGS'!$B$4)^5</f>
        <v>12647.4532911935</v>
      </c>
      <c r="I7" s="40" t="n">
        <f aca="false">B7/AVERAGE(C7:G7)</f>
        <v>1.63934426229508</v>
      </c>
      <c r="J7" s="3" t="n">
        <v>4</v>
      </c>
      <c r="K7" s="3" t="n">
        <v>4</v>
      </c>
      <c r="L7" s="3" t="n">
        <v>5</v>
      </c>
      <c r="M7" s="3" t="n">
        <v>2</v>
      </c>
      <c r="N7" s="3" t="n">
        <v>5</v>
      </c>
      <c r="O7" s="41" t="n">
        <f aca="false">J7*'OWNER SETTINGS'!$B$5+K7*'OWNER SETTINGS'!$B$6+L7*'OWNER SETTINGS'!$B$7+M7*'OWNER SETTINGS'!$B$8+N7*'OWNER SETTINGS'!$B$9</f>
        <v>3.95</v>
      </c>
    </row>
    <row r="8" customFormat="false" ht="15" hidden="false" customHeight="true" outlineLevel="0" collapsed="false">
      <c r="A8" s="3" t="s">
        <v>251</v>
      </c>
      <c r="B8" s="39" t="n">
        <v>14000</v>
      </c>
      <c r="C8" s="39" t="n">
        <v>4000</v>
      </c>
      <c r="D8" s="39" t="n">
        <v>4500</v>
      </c>
      <c r="E8" s="39" t="n">
        <v>5000</v>
      </c>
      <c r="F8" s="39" t="n">
        <v>5000</v>
      </c>
      <c r="G8" s="39" t="n">
        <v>5000</v>
      </c>
      <c r="H8" s="39" t="n">
        <f aca="false">-B8+C8/(1+'OWNER SETTINGS'!$B$4)^1+D8/(1+'OWNER SETTINGS'!$B$4)^2+E8/(1+'OWNER SETTINGS'!$B$4)^3+F8/(1+'OWNER SETTINGS'!$B$4)^4+G8/(1+'OWNER SETTINGS'!$B$4)^5</f>
        <v>3631.61979745546</v>
      </c>
      <c r="I8" s="40" t="n">
        <f aca="false">B8/AVERAGE(C8:G8)</f>
        <v>2.97872340425532</v>
      </c>
      <c r="J8" s="3" t="n">
        <v>3</v>
      </c>
      <c r="K8" s="3" t="n">
        <v>5</v>
      </c>
      <c r="L8" s="3" t="n">
        <v>5</v>
      </c>
      <c r="M8" s="3" t="n">
        <v>5</v>
      </c>
      <c r="N8" s="3" t="n">
        <v>4</v>
      </c>
      <c r="O8" s="41" t="n">
        <f aca="false">J8*'OWNER SETTINGS'!$B$5+K8*'OWNER SETTINGS'!$B$6+L8*'OWNER SETTINGS'!$B$7+M8*'OWNER SETTINGS'!$B$8+N8*'OWNER SETTINGS'!$B$9</f>
        <v>4.1</v>
      </c>
    </row>
    <row r="9" customFormat="false" ht="15" hidden="false" customHeight="true" outlineLevel="0" collapsed="false">
      <c r="A9" s="3"/>
      <c r="B9" s="3"/>
      <c r="C9" s="3"/>
      <c r="D9" s="3"/>
      <c r="E9" s="3"/>
      <c r="F9" s="3"/>
      <c r="G9" s="3"/>
      <c r="H9" s="3"/>
      <c r="I9" s="3"/>
      <c r="J9" s="3"/>
      <c r="K9" s="3"/>
      <c r="L9" s="3"/>
      <c r="M9" s="3"/>
      <c r="N9" s="3"/>
      <c r="O9" s="3"/>
    </row>
    <row r="10" customFormat="false" ht="15" hidden="false" customHeight="true" outlineLevel="0" collapsed="false">
      <c r="A10" s="11" t="s">
        <v>252</v>
      </c>
      <c r="B10" s="11"/>
      <c r="C10" s="11"/>
      <c r="D10" s="11"/>
      <c r="E10" s="11"/>
      <c r="F10" s="11"/>
      <c r="G10" s="11"/>
      <c r="H10" s="11"/>
      <c r="I10" s="11"/>
      <c r="J10" s="11"/>
      <c r="K10" s="11"/>
      <c r="L10" s="11"/>
      <c r="M10" s="11"/>
      <c r="N10" s="11"/>
      <c r="O10" s="11"/>
    </row>
    <row r="11" customFormat="false" ht="15" hidden="false" customHeight="true" outlineLevel="0" collapsed="false">
      <c r="A11" s="11"/>
      <c r="B11" s="11"/>
      <c r="C11" s="11"/>
      <c r="D11" s="11"/>
      <c r="E11" s="11"/>
      <c r="F11" s="11"/>
      <c r="G11" s="11"/>
      <c r="H11" s="11"/>
      <c r="I11" s="11"/>
      <c r="J11" s="11"/>
      <c r="K11" s="11"/>
      <c r="L11" s="11"/>
      <c r="M11" s="11"/>
      <c r="N11" s="11"/>
      <c r="O11" s="11"/>
    </row>
    <row r="12" customFormat="false" ht="15" hidden="false" customHeight="true" outlineLevel="0" collapsed="false">
      <c r="A12" s="11"/>
      <c r="B12" s="11"/>
      <c r="C12" s="11"/>
      <c r="D12" s="11"/>
      <c r="E12" s="11"/>
      <c r="F12" s="11"/>
      <c r="G12" s="11"/>
      <c r="H12" s="11"/>
      <c r="I12" s="11"/>
      <c r="J12" s="11"/>
      <c r="K12" s="11"/>
      <c r="L12" s="11"/>
      <c r="M12" s="11"/>
      <c r="N12" s="11"/>
      <c r="O12" s="11"/>
    </row>
    <row r="13" customFormat="false" ht="15" hidden="false" customHeight="true" outlineLevel="0" collapsed="false">
      <c r="A13" s="11"/>
      <c r="B13" s="11"/>
      <c r="C13" s="11"/>
      <c r="D13" s="11"/>
      <c r="E13" s="11"/>
      <c r="F13" s="11"/>
      <c r="G13" s="11"/>
      <c r="H13" s="11"/>
      <c r="I13" s="11"/>
      <c r="J13" s="11"/>
      <c r="K13" s="11"/>
      <c r="L13" s="11"/>
      <c r="M13" s="11"/>
      <c r="N13" s="11"/>
      <c r="O13" s="11"/>
    </row>
    <row r="14" customFormat="false" ht="15" hidden="false" customHeight="true" outlineLevel="0" collapsed="false">
      <c r="A14" s="3"/>
      <c r="B14" s="3"/>
      <c r="C14" s="3"/>
      <c r="D14" s="3"/>
      <c r="E14" s="3"/>
      <c r="F14" s="3"/>
      <c r="G14" s="3"/>
      <c r="H14" s="3"/>
      <c r="I14" s="3"/>
      <c r="J14" s="3"/>
      <c r="K14" s="3"/>
      <c r="L14" s="3"/>
      <c r="M14" s="3"/>
      <c r="N14" s="3"/>
      <c r="O14" s="3"/>
    </row>
  </sheetData>
  <mergeCells count="3">
    <mergeCell ref="A1:O1"/>
    <mergeCell ref="A2:O3"/>
    <mergeCell ref="A10:O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4" min="3" style="1" width="28"/>
    <col collapsed="false" customWidth="true" hidden="false" outlineLevel="0" max="5" min="5" style="1" width="16"/>
    <col collapsed="false" customWidth="true" hidden="false" outlineLevel="0" max="6" min="6" style="1" width="28"/>
    <col collapsed="false" customWidth="true" hidden="false" outlineLevel="0" max="7" min="7" style="1" width="16"/>
    <col collapsed="false" customWidth="true" hidden="false" outlineLevel="0" max="8" min="8" style="1" width="46"/>
  </cols>
  <sheetData>
    <row r="1" customFormat="false" ht="20.25" hidden="false" customHeight="true" outlineLevel="0" collapsed="false">
      <c r="A1" s="2" t="s">
        <v>253</v>
      </c>
      <c r="B1" s="2"/>
      <c r="C1" s="2"/>
      <c r="D1" s="2"/>
      <c r="E1" s="2"/>
      <c r="F1" s="2"/>
      <c r="G1" s="2"/>
      <c r="H1" s="2"/>
    </row>
    <row r="2" customFormat="false" ht="15" hidden="false" customHeight="true" outlineLevel="0" collapsed="false">
      <c r="A2" s="3"/>
      <c r="B2" s="3"/>
      <c r="C2" s="3"/>
      <c r="D2" s="3"/>
      <c r="E2" s="3"/>
      <c r="F2" s="3"/>
      <c r="G2" s="3"/>
      <c r="H2" s="3"/>
    </row>
    <row r="3" customFormat="false" ht="15" hidden="false" customHeight="true" outlineLevel="0" collapsed="false">
      <c r="A3" s="11" t="s">
        <v>254</v>
      </c>
      <c r="B3" s="11"/>
      <c r="C3" s="11"/>
      <c r="D3" s="11"/>
      <c r="E3" s="11"/>
      <c r="F3" s="11"/>
      <c r="G3" s="11"/>
      <c r="H3" s="11"/>
    </row>
    <row r="4" customFormat="false" ht="15" hidden="false" customHeight="true" outlineLevel="0" collapsed="false">
      <c r="A4" s="11"/>
      <c r="B4" s="11"/>
      <c r="C4" s="11"/>
      <c r="D4" s="11"/>
      <c r="E4" s="11"/>
      <c r="F4" s="11"/>
      <c r="G4" s="11"/>
      <c r="H4" s="11"/>
    </row>
    <row r="5" customFormat="false" ht="15" hidden="false" customHeight="true" outlineLevel="0" collapsed="false">
      <c r="A5" s="11"/>
      <c r="B5" s="11"/>
      <c r="C5" s="11"/>
      <c r="D5" s="11"/>
      <c r="E5" s="11"/>
      <c r="F5" s="11"/>
      <c r="G5" s="11"/>
      <c r="H5" s="11"/>
    </row>
    <row r="6" customFormat="false" ht="15" hidden="false" customHeight="true" outlineLevel="0" collapsed="false">
      <c r="A6" s="3"/>
      <c r="B6" s="3"/>
      <c r="C6" s="3"/>
      <c r="D6" s="3"/>
      <c r="E6" s="3"/>
      <c r="F6" s="3"/>
      <c r="G6" s="3"/>
      <c r="H6" s="3"/>
    </row>
    <row r="7" customFormat="false" ht="15" hidden="false" customHeight="true" outlineLevel="0" collapsed="false">
      <c r="A7" s="5" t="s">
        <v>255</v>
      </c>
      <c r="B7" s="5"/>
      <c r="C7" s="5"/>
      <c r="D7" s="5"/>
      <c r="E7" s="5"/>
      <c r="F7" s="5"/>
      <c r="G7" s="5"/>
      <c r="H7" s="5"/>
    </row>
    <row r="8" customFormat="false" ht="15" hidden="false" customHeight="true" outlineLevel="0" collapsed="false">
      <c r="A8" s="4" t="s">
        <v>231</v>
      </c>
      <c r="B8" s="4" t="s">
        <v>256</v>
      </c>
      <c r="C8" s="3"/>
      <c r="D8" s="3"/>
      <c r="E8" s="3"/>
      <c r="F8" s="3"/>
      <c r="G8" s="3"/>
      <c r="H8" s="3"/>
    </row>
    <row r="9" customFormat="false" ht="27.75" hidden="false" customHeight="true" outlineLevel="0" collapsed="false">
      <c r="A9" s="3" t="s">
        <v>257</v>
      </c>
      <c r="B9" s="27" t="s">
        <v>258</v>
      </c>
      <c r="C9" s="3"/>
      <c r="D9" s="3"/>
      <c r="E9" s="3"/>
      <c r="F9" s="3"/>
      <c r="G9" s="3"/>
      <c r="H9" s="3"/>
    </row>
    <row r="10" customFormat="false" ht="54.75" hidden="false" customHeight="true" outlineLevel="0" collapsed="false">
      <c r="A10" s="3" t="s">
        <v>259</v>
      </c>
      <c r="B10" s="27" t="s">
        <v>260</v>
      </c>
      <c r="C10" s="3"/>
      <c r="D10" s="3"/>
      <c r="E10" s="3"/>
      <c r="F10" s="3"/>
      <c r="G10" s="3"/>
      <c r="H10" s="3"/>
    </row>
    <row r="11" customFormat="false" ht="15" hidden="false" customHeight="true" outlineLevel="0" collapsed="false">
      <c r="A11" s="3" t="s">
        <v>261</v>
      </c>
      <c r="B11" s="27" t="s">
        <v>262</v>
      </c>
      <c r="C11" s="3"/>
      <c r="D11" s="3"/>
      <c r="E11" s="3"/>
      <c r="F11" s="3"/>
      <c r="G11" s="3"/>
      <c r="H11" s="3"/>
    </row>
    <row r="12" customFormat="false" ht="15" hidden="false" customHeight="true" outlineLevel="0" collapsed="false">
      <c r="A12" s="3"/>
      <c r="B12" s="3"/>
      <c r="C12" s="3"/>
      <c r="D12" s="3"/>
      <c r="E12" s="3"/>
      <c r="F12" s="3"/>
      <c r="G12" s="3"/>
      <c r="H12" s="3"/>
    </row>
    <row r="13" customFormat="false" ht="15" hidden="false" customHeight="true" outlineLevel="0" collapsed="false">
      <c r="A13" s="5" t="s">
        <v>263</v>
      </c>
      <c r="B13" s="5"/>
      <c r="C13" s="5"/>
      <c r="D13" s="5"/>
      <c r="E13" s="5"/>
      <c r="F13" s="5"/>
      <c r="G13" s="5"/>
      <c r="H13" s="5"/>
    </row>
    <row r="14" customFormat="false" ht="15" hidden="false" customHeight="true" outlineLevel="0" collapsed="false">
      <c r="A14" s="4" t="s">
        <v>264</v>
      </c>
      <c r="B14" s="4" t="s">
        <v>265</v>
      </c>
      <c r="C14" s="4" t="s">
        <v>266</v>
      </c>
      <c r="D14" s="3"/>
      <c r="E14" s="3"/>
      <c r="F14" s="3"/>
      <c r="G14" s="3"/>
      <c r="H14" s="3"/>
    </row>
    <row r="15" customFormat="false" ht="27.75" hidden="false" customHeight="true" outlineLevel="0" collapsed="false">
      <c r="A15" s="3" t="s">
        <v>267</v>
      </c>
      <c r="B15" s="28" t="n">
        <v>1800</v>
      </c>
      <c r="C15" s="3" t="s">
        <v>268</v>
      </c>
      <c r="D15" s="3"/>
      <c r="E15" s="3"/>
      <c r="F15" s="3"/>
      <c r="G15" s="3"/>
      <c r="H15" s="3"/>
    </row>
    <row r="16" customFormat="false" ht="27.75" hidden="false" customHeight="true" outlineLevel="0" collapsed="false">
      <c r="A16" s="3" t="s">
        <v>269</v>
      </c>
      <c r="B16" s="28" t="n">
        <v>1100</v>
      </c>
      <c r="C16" s="3" t="s">
        <v>270</v>
      </c>
      <c r="D16" s="3"/>
      <c r="E16" s="3"/>
      <c r="F16" s="3"/>
      <c r="G16" s="3"/>
      <c r="H16" s="3"/>
    </row>
    <row r="17" customFormat="false" ht="27.75" hidden="false" customHeight="true" outlineLevel="0" collapsed="false">
      <c r="A17" s="3" t="s">
        <v>271</v>
      </c>
      <c r="B17" s="28" t="n">
        <v>1200</v>
      </c>
      <c r="C17" s="3" t="s">
        <v>272</v>
      </c>
      <c r="D17" s="3"/>
      <c r="E17" s="3"/>
      <c r="F17" s="3"/>
      <c r="G17" s="3"/>
      <c r="H17" s="3"/>
    </row>
    <row r="18" customFormat="false" ht="27.75" hidden="false" customHeight="true" outlineLevel="0" collapsed="false">
      <c r="A18" s="3" t="s">
        <v>273</v>
      </c>
      <c r="B18" s="28" t="n">
        <v>900</v>
      </c>
      <c r="C18" s="3" t="s">
        <v>274</v>
      </c>
      <c r="D18" s="3"/>
      <c r="E18" s="3"/>
      <c r="F18" s="3"/>
      <c r="G18" s="3"/>
      <c r="H18" s="3"/>
    </row>
    <row r="19" customFormat="false" ht="27.75" hidden="false" customHeight="true" outlineLevel="0" collapsed="false">
      <c r="A19" s="3" t="s">
        <v>275</v>
      </c>
      <c r="B19" s="42" t="n">
        <f aca="false">(B15-B16)*12+B17-B18</f>
        <v>8700</v>
      </c>
      <c r="C19" s="3" t="s">
        <v>276</v>
      </c>
      <c r="D19" s="3"/>
      <c r="E19" s="3"/>
      <c r="F19" s="3"/>
      <c r="G19" s="3"/>
      <c r="H19" s="3"/>
    </row>
    <row r="20" customFormat="false" ht="15" hidden="false" customHeight="true" outlineLevel="0" collapsed="false">
      <c r="A20" s="3"/>
      <c r="B20" s="3"/>
      <c r="C20" s="3"/>
      <c r="D20" s="3"/>
      <c r="E20" s="3"/>
      <c r="F20" s="3"/>
      <c r="G20" s="3"/>
      <c r="H20" s="3"/>
    </row>
    <row r="21" customFormat="false" ht="15" hidden="false" customHeight="true" outlineLevel="0" collapsed="false">
      <c r="A21" s="5" t="s">
        <v>277</v>
      </c>
      <c r="B21" s="5"/>
      <c r="C21" s="5"/>
      <c r="D21" s="5"/>
      <c r="E21" s="5"/>
      <c r="F21" s="5"/>
      <c r="G21" s="5"/>
      <c r="H21" s="5"/>
    </row>
    <row r="22" customFormat="false" ht="15" hidden="false" customHeight="true" outlineLevel="0" collapsed="false">
      <c r="A22" s="4" t="s">
        <v>278</v>
      </c>
      <c r="B22" s="4" t="s">
        <v>279</v>
      </c>
      <c r="C22" s="4" t="s">
        <v>280</v>
      </c>
      <c r="D22" s="4" t="s">
        <v>281</v>
      </c>
      <c r="E22" s="4" t="s">
        <v>282</v>
      </c>
      <c r="F22" s="4" t="s">
        <v>283</v>
      </c>
      <c r="G22" s="4" t="s">
        <v>284</v>
      </c>
      <c r="H22" s="4" t="s">
        <v>285</v>
      </c>
    </row>
    <row r="23" customFormat="false" ht="27.75" hidden="false" customHeight="true" outlineLevel="0" collapsed="false">
      <c r="A23" s="3" t="s">
        <v>286</v>
      </c>
      <c r="B23" s="28" t="n">
        <v>-15000</v>
      </c>
      <c r="C23" s="35" t="n">
        <f aca="false">$B$19</f>
        <v>8700</v>
      </c>
      <c r="D23" s="35" t="n">
        <f aca="false">$B$19</f>
        <v>8700</v>
      </c>
      <c r="E23" s="35" t="n">
        <f aca="false">$B$19</f>
        <v>8700</v>
      </c>
      <c r="F23" s="35" t="n">
        <f aca="false">$B$19</f>
        <v>8700</v>
      </c>
      <c r="G23" s="35" t="n">
        <f aca="false">$B$19</f>
        <v>8700</v>
      </c>
      <c r="H23" s="3" t="s">
        <v>287</v>
      </c>
    </row>
    <row r="24" customFormat="false" ht="27.75" hidden="false" customHeight="true" outlineLevel="0" collapsed="false">
      <c r="A24" s="3" t="s">
        <v>129</v>
      </c>
      <c r="B24" s="43" t="n">
        <f aca="false">'OWNER SETTINGS'!B4</f>
        <v>0.1</v>
      </c>
      <c r="C24" s="3"/>
      <c r="D24" s="3"/>
      <c r="E24" s="3"/>
      <c r="F24" s="3"/>
      <c r="G24" s="3"/>
      <c r="H24" s="3" t="s">
        <v>288</v>
      </c>
    </row>
    <row r="25" customFormat="false" ht="27.75" hidden="false" customHeight="true" outlineLevel="0" collapsed="false">
      <c r="A25" s="3" t="s">
        <v>36</v>
      </c>
      <c r="B25" s="42" t="n">
        <f aca="false">B23+C23/(1+B24)^1+D23/(1+B24)^2+E23/(1+B24)^3+F23/(1+B24)^4+G23/(1+B24)^5</f>
        <v>17979.8448938535</v>
      </c>
      <c r="C25" s="3"/>
      <c r="D25" s="3"/>
      <c r="E25" s="3"/>
      <c r="F25" s="3"/>
      <c r="G25" s="3"/>
      <c r="H25" s="3" t="s">
        <v>289</v>
      </c>
    </row>
    <row r="26" customFormat="false" ht="27.75" hidden="false" customHeight="true" outlineLevel="0" collapsed="false">
      <c r="A26" s="3" t="s">
        <v>38</v>
      </c>
      <c r="B26" s="44" t="n">
        <f aca="false">ABS(B23)/AVERAGE(C23:G23)</f>
        <v>1.72413793103448</v>
      </c>
      <c r="C26" s="3"/>
      <c r="D26" s="3"/>
      <c r="E26" s="3"/>
      <c r="F26" s="3"/>
      <c r="G26" s="3"/>
      <c r="H26" s="3" t="s">
        <v>290</v>
      </c>
    </row>
    <row r="27" customFormat="false" ht="15" hidden="false" customHeight="true" outlineLevel="0" collapsed="false">
      <c r="A27" s="3" t="s">
        <v>81</v>
      </c>
      <c r="B27" s="11" t="str">
        <f aca="false">IF(B25&gt;0,"The project has a positive NPV at the selected discount rate. That supports the financial case, but the owner should still consider readiness, risk, need, and strategic fit.","The project does not have a positive NPV at the selected discount rate.")</f>
        <v>The project has a positive NPV at the selected discount rate. That supports the financial case, but the owner should still consider readiness, risk, need, and strategic fit.</v>
      </c>
      <c r="C27" s="11"/>
      <c r="D27" s="11"/>
      <c r="E27" s="11"/>
      <c r="F27" s="11"/>
      <c r="G27" s="11"/>
      <c r="H27" s="11"/>
    </row>
    <row r="28" customFormat="false" ht="15" hidden="false" customHeight="true" outlineLevel="0" collapsed="false">
      <c r="A28" s="3"/>
      <c r="B28" s="3"/>
      <c r="C28" s="3"/>
      <c r="D28" s="3"/>
      <c r="E28" s="3"/>
      <c r="F28" s="3"/>
      <c r="G28" s="3"/>
      <c r="H28" s="3"/>
    </row>
    <row r="29" customFormat="false" ht="15" hidden="false" customHeight="true" outlineLevel="0" collapsed="false">
      <c r="A29" s="3"/>
      <c r="B29" s="3"/>
      <c r="C29" s="3"/>
      <c r="D29" s="3"/>
      <c r="E29" s="3"/>
      <c r="F29" s="3"/>
      <c r="G29" s="3"/>
      <c r="H29" s="3"/>
    </row>
    <row r="30" customFormat="false" ht="15" hidden="false" customHeight="true" outlineLevel="0" collapsed="false">
      <c r="A30" s="5" t="s">
        <v>291</v>
      </c>
      <c r="B30" s="5"/>
      <c r="C30" s="5"/>
      <c r="D30" s="5"/>
      <c r="E30" s="5"/>
      <c r="F30" s="5"/>
      <c r="G30" s="5"/>
      <c r="H30" s="5"/>
    </row>
    <row r="31" customFormat="false" ht="15" hidden="false" customHeight="true" outlineLevel="0" collapsed="false">
      <c r="A31" s="4" t="s">
        <v>292</v>
      </c>
      <c r="B31" s="4" t="s">
        <v>293</v>
      </c>
      <c r="C31" s="4" t="s">
        <v>294</v>
      </c>
      <c r="D31" s="4" t="s">
        <v>295</v>
      </c>
      <c r="E31" s="3"/>
      <c r="F31" s="4" t="s">
        <v>296</v>
      </c>
      <c r="G31" s="4" t="s">
        <v>158</v>
      </c>
      <c r="H31" s="4" t="s">
        <v>297</v>
      </c>
    </row>
    <row r="32" customFormat="false" ht="27.75" hidden="false" customHeight="true" outlineLevel="0" collapsed="false">
      <c r="A32" s="3" t="s">
        <v>138</v>
      </c>
      <c r="B32" s="27" t="s">
        <v>298</v>
      </c>
      <c r="C32" s="3" t="s">
        <v>299</v>
      </c>
      <c r="D32" s="3"/>
      <c r="E32" s="3"/>
      <c r="F32" s="3" t="s">
        <v>159</v>
      </c>
      <c r="G32" s="27" t="n">
        <v>4</v>
      </c>
      <c r="H32" s="3" t="s">
        <v>300</v>
      </c>
    </row>
    <row r="33" customFormat="false" ht="27.75" hidden="false" customHeight="true" outlineLevel="0" collapsed="false">
      <c r="A33" s="3" t="s">
        <v>139</v>
      </c>
      <c r="B33" s="27" t="s">
        <v>298</v>
      </c>
      <c r="C33" s="3" t="s">
        <v>301</v>
      </c>
      <c r="D33" s="3"/>
      <c r="E33" s="3"/>
      <c r="F33" s="3" t="s">
        <v>160</v>
      </c>
      <c r="G33" s="27" t="n">
        <v>4</v>
      </c>
      <c r="H33" s="3" t="s">
        <v>302</v>
      </c>
    </row>
    <row r="34" customFormat="false" ht="27.75" hidden="false" customHeight="true" outlineLevel="0" collapsed="false">
      <c r="A34" s="3" t="s">
        <v>140</v>
      </c>
      <c r="B34" s="27" t="s">
        <v>298</v>
      </c>
      <c r="C34" s="3" t="s">
        <v>303</v>
      </c>
      <c r="D34" s="3"/>
      <c r="E34" s="3"/>
      <c r="F34" s="3" t="s">
        <v>161</v>
      </c>
      <c r="G34" s="27" t="n">
        <v>4</v>
      </c>
      <c r="H34" s="3" t="s">
        <v>304</v>
      </c>
    </row>
    <row r="35" customFormat="false" ht="27.75" hidden="false" customHeight="true" outlineLevel="0" collapsed="false">
      <c r="A35" s="3" t="s">
        <v>305</v>
      </c>
      <c r="B35" s="27" t="s">
        <v>298</v>
      </c>
      <c r="C35" s="3" t="s">
        <v>306</v>
      </c>
      <c r="D35" s="3"/>
      <c r="E35" s="3"/>
      <c r="F35" s="3" t="s">
        <v>162</v>
      </c>
      <c r="G35" s="27" t="n">
        <v>3</v>
      </c>
      <c r="H35" s="3" t="s">
        <v>307</v>
      </c>
    </row>
    <row r="36" customFormat="false" ht="27.75" hidden="false" customHeight="true" outlineLevel="0" collapsed="false">
      <c r="A36" s="3" t="s">
        <v>308</v>
      </c>
      <c r="B36" s="27" t="s">
        <v>298</v>
      </c>
      <c r="C36" s="3" t="s">
        <v>309</v>
      </c>
      <c r="D36" s="3"/>
      <c r="E36" s="3"/>
      <c r="F36" s="3" t="s">
        <v>163</v>
      </c>
      <c r="G36" s="27" t="n">
        <v>5</v>
      </c>
      <c r="H36" s="3" t="s">
        <v>310</v>
      </c>
    </row>
    <row r="37" customFormat="false" ht="41.25" hidden="false" customHeight="true" outlineLevel="0" collapsed="false">
      <c r="A37" s="3" t="s">
        <v>143</v>
      </c>
      <c r="B37" s="27" t="s">
        <v>298</v>
      </c>
      <c r="C37" s="3" t="s">
        <v>311</v>
      </c>
      <c r="D37" s="3"/>
      <c r="E37" s="3"/>
      <c r="F37" s="3" t="s">
        <v>312</v>
      </c>
      <c r="G37" s="45" t="n">
        <f aca="false">G32*'OWNER SETTINGS'!B5+G33*'OWNER SETTINGS'!B6+G34*'OWNER SETTINGS'!B7+G35*'OWNER SETTINGS'!B8+G36*'OWNER SETTINGS'!B9</f>
        <v>3.95</v>
      </c>
      <c r="H37" s="3" t="s">
        <v>313</v>
      </c>
    </row>
    <row r="38" customFormat="false" ht="15" hidden="false" customHeight="true" outlineLevel="0" collapsed="false">
      <c r="A38" s="3" t="s">
        <v>314</v>
      </c>
      <c r="B38" s="3"/>
      <c r="C38" s="3"/>
      <c r="D38" s="46" t="str">
        <f aca="false">IF(COUNTIF(B32:B37,"No")&gt;0,"PAUSE","READY")</f>
        <v>READY</v>
      </c>
      <c r="E38" s="3"/>
      <c r="F38" s="3"/>
      <c r="G38" s="3"/>
      <c r="H38" s="3"/>
    </row>
    <row r="39" customFormat="false" ht="15" hidden="false" customHeight="true" outlineLevel="0" collapsed="false">
      <c r="A39" s="3"/>
      <c r="B39" s="3"/>
      <c r="C39" s="3"/>
      <c r="D39" s="3"/>
      <c r="E39" s="3"/>
      <c r="F39" s="3"/>
      <c r="G39" s="3"/>
      <c r="H39" s="3"/>
    </row>
    <row r="40" customFormat="false" ht="15" hidden="false" customHeight="true" outlineLevel="0" collapsed="false">
      <c r="A40" s="5" t="s">
        <v>315</v>
      </c>
      <c r="B40" s="5"/>
      <c r="C40" s="5"/>
      <c r="D40" s="5"/>
      <c r="E40" s="5"/>
      <c r="F40" s="5"/>
      <c r="G40" s="5"/>
      <c r="H40" s="5"/>
    </row>
    <row r="41" customFormat="false" ht="15" hidden="false" customHeight="true" outlineLevel="0" collapsed="false">
      <c r="A41" s="4" t="s">
        <v>316</v>
      </c>
      <c r="B41" s="4" t="s">
        <v>317</v>
      </c>
      <c r="C41" s="3"/>
      <c r="D41" s="11" t="s">
        <v>318</v>
      </c>
      <c r="E41" s="11"/>
      <c r="F41" s="11"/>
      <c r="G41" s="11"/>
      <c r="H41" s="11"/>
    </row>
    <row r="42" customFormat="false" ht="27.75" hidden="false" customHeight="true" outlineLevel="0" collapsed="false">
      <c r="A42" s="3" t="s">
        <v>319</v>
      </c>
      <c r="B42" s="3" t="str">
        <f aca="false">"NPV: "&amp;TEXT(B25,"$#,##0")&amp;" | Payback: "&amp;TEXT(B26,"0.0")&amp;" years"</f>
        <v>NPV: $17,980 | Payback: 1.7 years</v>
      </c>
      <c r="C42" s="3"/>
      <c r="D42" s="11"/>
      <c r="E42" s="11"/>
      <c r="F42" s="11"/>
      <c r="G42" s="11"/>
      <c r="H42" s="11"/>
    </row>
    <row r="43" customFormat="false" ht="15" hidden="false" customHeight="true" outlineLevel="0" collapsed="false">
      <c r="A43" s="3" t="s">
        <v>320</v>
      </c>
      <c r="B43" s="3" t="str">
        <f aca="false">D38</f>
        <v>READY</v>
      </c>
      <c r="C43" s="3"/>
      <c r="D43" s="11"/>
      <c r="E43" s="11"/>
      <c r="F43" s="11"/>
      <c r="G43" s="11"/>
      <c r="H43" s="11"/>
    </row>
    <row r="44" customFormat="false" ht="15" hidden="false" customHeight="true" outlineLevel="0" collapsed="false">
      <c r="A44" s="3" t="s">
        <v>312</v>
      </c>
      <c r="B44" s="3" t="str">
        <f aca="false">TEXT(G37,"0.00")&amp;" out of 5.00"</f>
        <v>3.95 out of 5.00</v>
      </c>
      <c r="C44" s="3"/>
      <c r="D44" s="11"/>
      <c r="E44" s="11"/>
      <c r="F44" s="11"/>
      <c r="G44" s="11"/>
      <c r="H44" s="11"/>
    </row>
    <row r="45" customFormat="false" ht="54.75" hidden="false" customHeight="true" outlineLevel="0" collapsed="false">
      <c r="A45" s="3" t="s">
        <v>321</v>
      </c>
      <c r="B45" s="46" t="s">
        <v>322</v>
      </c>
      <c r="C45" s="3"/>
      <c r="D45" s="11"/>
      <c r="E45" s="11"/>
      <c r="F45" s="11"/>
      <c r="G45" s="11"/>
      <c r="H45" s="11"/>
    </row>
    <row r="46" customFormat="false" ht="15" hidden="false" customHeight="true" outlineLevel="0" collapsed="false">
      <c r="A46" s="3"/>
      <c r="B46" s="3"/>
      <c r="C46" s="3"/>
      <c r="D46" s="3"/>
      <c r="E46" s="3"/>
      <c r="F46" s="3"/>
      <c r="G46" s="3"/>
      <c r="H46" s="3"/>
    </row>
    <row r="47" customFormat="false" ht="15" hidden="false" customHeight="true" outlineLevel="0" collapsed="false">
      <c r="A47" s="5" t="s">
        <v>323</v>
      </c>
      <c r="B47" s="5"/>
      <c r="C47" s="5"/>
      <c r="D47" s="5"/>
      <c r="E47" s="5"/>
      <c r="F47" s="5"/>
      <c r="G47" s="5"/>
      <c r="H47" s="5"/>
    </row>
    <row r="48" customFormat="false" ht="15" hidden="false" customHeight="true" outlineLevel="0" collapsed="false">
      <c r="A48" s="4" t="s">
        <v>324</v>
      </c>
      <c r="B48" s="4" t="s">
        <v>325</v>
      </c>
      <c r="C48" s="4" t="s">
        <v>326</v>
      </c>
      <c r="D48" s="4" t="s">
        <v>327</v>
      </c>
      <c r="E48" s="3"/>
      <c r="F48" s="3"/>
      <c r="G48" s="3"/>
      <c r="H48" s="3"/>
    </row>
    <row r="49" customFormat="false" ht="27.75" hidden="false" customHeight="true" outlineLevel="0" collapsed="false">
      <c r="A49" s="3" t="s">
        <v>328</v>
      </c>
      <c r="B49" s="39" t="n">
        <v>15000</v>
      </c>
      <c r="C49" s="39" t="n">
        <v>15750</v>
      </c>
      <c r="D49" s="3" t="s">
        <v>329</v>
      </c>
      <c r="E49" s="3"/>
      <c r="F49" s="3"/>
      <c r="G49" s="3"/>
      <c r="H49" s="3"/>
    </row>
    <row r="50" customFormat="false" ht="27.75" hidden="false" customHeight="true" outlineLevel="0" collapsed="false">
      <c r="A50" s="3" t="s">
        <v>330</v>
      </c>
      <c r="B50" s="35" t="n">
        <f aca="false">$B$19</f>
        <v>8700</v>
      </c>
      <c r="C50" s="39" t="n">
        <v>8100</v>
      </c>
      <c r="D50" s="3" t="s">
        <v>331</v>
      </c>
      <c r="E50" s="3"/>
      <c r="F50" s="3"/>
      <c r="G50" s="3"/>
      <c r="H50" s="3"/>
    </row>
    <row r="51" customFormat="false" ht="27.75" hidden="false" customHeight="true" outlineLevel="0" collapsed="false">
      <c r="A51" s="3" t="s">
        <v>332</v>
      </c>
      <c r="B51" s="3" t="s">
        <v>333</v>
      </c>
      <c r="C51" s="3" t="s">
        <v>334</v>
      </c>
      <c r="D51" s="3" t="s">
        <v>335</v>
      </c>
      <c r="E51" s="3"/>
      <c r="F51" s="3"/>
      <c r="G51" s="3"/>
      <c r="H51" s="3"/>
    </row>
    <row r="52" customFormat="false" ht="41.25" hidden="false" customHeight="true" outlineLevel="0" collapsed="false">
      <c r="A52" s="3" t="s">
        <v>336</v>
      </c>
      <c r="B52" s="3" t="s">
        <v>298</v>
      </c>
      <c r="C52" s="3" t="s">
        <v>298</v>
      </c>
      <c r="D52" s="3" t="s">
        <v>337</v>
      </c>
      <c r="E52" s="3"/>
      <c r="F52" s="3"/>
      <c r="G52" s="3"/>
      <c r="H52" s="3"/>
    </row>
    <row r="53" customFormat="false" ht="41.25" hidden="false" customHeight="true" outlineLevel="0" collapsed="false">
      <c r="A53" s="3" t="s">
        <v>338</v>
      </c>
      <c r="B53" s="3"/>
      <c r="C53" s="3"/>
      <c r="D53" s="3" t="s">
        <v>339</v>
      </c>
      <c r="E53" s="3"/>
      <c r="F53" s="3"/>
      <c r="G53" s="3"/>
      <c r="H53" s="3"/>
    </row>
    <row r="54" customFormat="false" ht="15" hidden="false" customHeight="true" outlineLevel="0" collapsed="false">
      <c r="A54" s="3"/>
      <c r="B54" s="3"/>
      <c r="C54" s="3"/>
      <c r="D54" s="3"/>
      <c r="E54" s="3"/>
      <c r="F54" s="3"/>
      <c r="G54" s="3"/>
      <c r="H54" s="3"/>
    </row>
    <row r="55" customFormat="false" ht="15" hidden="false" customHeight="true" outlineLevel="0" collapsed="false">
      <c r="A55" s="47" t="s">
        <v>340</v>
      </c>
      <c r="B55" s="47"/>
      <c r="C55" s="47"/>
      <c r="D55" s="47"/>
      <c r="E55" s="47"/>
      <c r="F55" s="47"/>
      <c r="G55" s="47"/>
      <c r="H55" s="47"/>
    </row>
    <row r="56" customFormat="false" ht="15" hidden="false" customHeight="true" outlineLevel="0" collapsed="false">
      <c r="A56" s="47"/>
      <c r="B56" s="47"/>
      <c r="C56" s="47"/>
      <c r="D56" s="47"/>
      <c r="E56" s="47"/>
      <c r="F56" s="47"/>
      <c r="G56" s="47"/>
      <c r="H56" s="47"/>
    </row>
    <row r="57" customFormat="false" ht="15" hidden="false" customHeight="true" outlineLevel="0" collapsed="false">
      <c r="A57" s="47"/>
      <c r="B57" s="47"/>
      <c r="C57" s="47"/>
      <c r="D57" s="47"/>
      <c r="E57" s="47"/>
      <c r="F57" s="47"/>
      <c r="G57" s="47"/>
      <c r="H57" s="47"/>
    </row>
    <row r="58" customFormat="false" ht="15" hidden="false" customHeight="true" outlineLevel="0" collapsed="false">
      <c r="A58" s="3"/>
      <c r="B58" s="3"/>
      <c r="C58" s="3"/>
      <c r="D58" s="3"/>
      <c r="E58" s="3"/>
      <c r="F58" s="3"/>
      <c r="G58" s="3"/>
      <c r="H58" s="3"/>
    </row>
    <row r="59" customFormat="false" ht="15" hidden="false" customHeight="true" outlineLevel="0" collapsed="false">
      <c r="A59" s="3"/>
      <c r="B59" s="3"/>
      <c r="C59" s="3"/>
      <c r="D59" s="3"/>
      <c r="E59" s="3"/>
      <c r="F59" s="3"/>
      <c r="G59" s="3"/>
      <c r="H59" s="3"/>
    </row>
    <row r="60" customFormat="false" ht="15" hidden="false" customHeight="true" outlineLevel="0" collapsed="false">
      <c r="A60" s="3"/>
      <c r="B60" s="3"/>
      <c r="C60" s="3"/>
      <c r="D60" s="3"/>
      <c r="E60" s="3"/>
      <c r="F60" s="3"/>
      <c r="G60" s="3"/>
      <c r="H60" s="3"/>
    </row>
  </sheetData>
  <mergeCells count="11">
    <mergeCell ref="A1:H1"/>
    <mergeCell ref="A3:H5"/>
    <mergeCell ref="A7:H7"/>
    <mergeCell ref="A13:H13"/>
    <mergeCell ref="A21:H21"/>
    <mergeCell ref="B27:H27"/>
    <mergeCell ref="A30:H30"/>
    <mergeCell ref="A40:H40"/>
    <mergeCell ref="D41:H45"/>
    <mergeCell ref="A47:H47"/>
    <mergeCell ref="A55:H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2026-10-17T04:25:38Z</dcterms:created>
  <dc:creator>openpyxl</dc:creator>
  <dc:description/>
  <dc:language>en-US</dc:language>
  <cp:lastModifiedBy/>
  <dcterms:modified xsi:type="dcterms:W3CDTF">2026-10-17T00:44:28Z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